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_Cao_Ngay_22_09" sheetId="1" state="visible" r:id="rId1"/>
    <sheet xmlns:r="http://schemas.openxmlformats.org/officeDocument/2006/relationships" name="Bao_Cao_Ngay_23_09" sheetId="2" state="visible" r:id="rId2"/>
    <sheet xmlns:r="http://schemas.openxmlformats.org/officeDocument/2006/relationships" name="So_Sanh_Chuyen_Giao_2_Ngay" sheetId="3" state="visible" r:id="rId3"/>
    <sheet xmlns:r="http://schemas.openxmlformats.org/officeDocument/2006/relationships" name="Thong_Ke_Giao_Dich_Hang_Ng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D4ED8"/>
      <sz val="9"/>
    </font>
    <font>
      <name val="Calibri"/>
      <b val="1"/>
      <color rgb="001D4ED8"/>
      <sz val="14"/>
    </font>
    <font>
      <name val="Calibri"/>
      <i val="1"/>
      <color rgb="00475569"/>
      <sz val="8"/>
    </font>
    <font>
      <name val="Calibri"/>
      <b val="1"/>
      <sz val="9"/>
    </font>
    <font>
      <name val="Calibri"/>
      <b val="1"/>
      <color rgb="0015803D"/>
      <sz val="14"/>
    </font>
    <font>
      <name val="Calibri"/>
      <b val="1"/>
      <color rgb="00C2410C"/>
      <sz val="14"/>
    </font>
    <font>
      <name val="Calibri"/>
      <b val="1"/>
      <color rgb="000F172A"/>
      <sz val="15"/>
    </font>
    <font>
      <name val="Calibri"/>
      <b val="1"/>
      <color rgb="00DC2626"/>
      <sz val="11"/>
    </font>
    <font>
      <name val="Calibri"/>
      <b val="1"/>
      <color rgb="00DC2626"/>
      <sz val="16"/>
    </font>
    <font>
      <name val="Calibri"/>
      <b val="1"/>
      <color rgb="00DC2626"/>
      <sz val="8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047857"/>
      <sz val="10"/>
    </font>
    <font>
      <name val="Calibri"/>
      <b val="1"/>
      <color rgb="001B365D"/>
      <sz val="10"/>
    </font>
    <font>
      <name val="Calibri"/>
      <b val="1"/>
      <color rgb="001E293B"/>
      <sz val="9"/>
    </font>
    <font>
      <name val="Calibri"/>
      <b val="1"/>
      <sz val="10"/>
    </font>
    <font>
      <name val="Calibri"/>
      <sz val="10"/>
    </font>
    <font>
      <name val="Calibri"/>
      <b val="1"/>
      <color rgb="001D4ED8"/>
      <sz val="10"/>
    </font>
    <font>
      <name val="Calibri"/>
      <b val="1"/>
      <color rgb="001E293B"/>
      <sz val="10"/>
    </font>
    <font>
      <name val="Calibri"/>
      <b val="1"/>
      <color rgb="0015803D"/>
      <sz val="10"/>
    </font>
    <font>
      <name val="Calibri"/>
      <b val="1"/>
      <color rgb="00C2410C"/>
      <sz val="10"/>
    </font>
    <font>
      <name val="Calibri"/>
      <i val="1"/>
      <color rgb="00FFFFFF"/>
      <sz val="9"/>
    </font>
  </fonts>
  <fills count="2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104E5B"/>
        <bgColor rgb="00104E5B"/>
      </patternFill>
    </fill>
    <fill>
      <patternFill patternType="solid">
        <fgColor rgb="00E0ECF8"/>
        <bgColor rgb="00E0ECF8"/>
      </patternFill>
    </fill>
    <fill>
      <patternFill patternType="solid">
        <fgColor rgb="00FFFFFF"/>
        <bgColor rgb="00FFFFFF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8B1E1E"/>
        <bgColor rgb="008B1E1E"/>
      </patternFill>
    </fill>
    <fill>
      <patternFill patternType="solid">
        <fgColor rgb="00FEE2E2"/>
        <bgColor rgb="00FEE2E2"/>
      </patternFill>
    </fill>
    <fill>
      <patternFill patternType="solid">
        <fgColor rgb="0094A3B8"/>
        <bgColor rgb="0094A3B8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  <fill>
      <patternFill patternType="solid">
        <fgColor rgb="00E2E8F0"/>
        <bgColor rgb="00E2E8F0"/>
      </patternFill>
    </fill>
    <fill>
      <patternFill patternType="solid">
        <fgColor rgb="001E3A8A"/>
        <bgColor rgb="001E3A8A"/>
      </patternFill>
    </fill>
    <fill>
      <patternFill patternType="solid">
        <fgColor rgb="00FFFBEB"/>
        <bgColor rgb="00FFFBEB"/>
      </patternFill>
    </fill>
    <fill>
      <patternFill patternType="solid">
        <fgColor rgb="00F0FDF4"/>
        <bgColor rgb="00F0FDF4"/>
      </patternFill>
    </fill>
    <fill>
      <patternFill patternType="solid">
        <fgColor rgb="00B45309"/>
        <bgColor rgb="00B45309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11" fillId="5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3" fontId="6" fillId="13" borderId="1" applyAlignment="1" pivotButton="0" quotePrefix="0" xfId="0">
      <alignment horizontal="center" vertical="center" wrapText="1"/>
    </xf>
    <xf numFmtId="3" fontId="9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3" fontId="11" fillId="13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center" vertical="center" wrapText="1"/>
    </xf>
    <xf numFmtId="3" fontId="10" fillId="13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3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16" borderId="0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3" fontId="20" fillId="5" borderId="1" applyAlignment="1" pivotButton="0" quotePrefix="0" xfId="0">
      <alignment horizontal="center" vertical="center"/>
    </xf>
    <xf numFmtId="3" fontId="21" fillId="5" borderId="1" applyAlignment="1" pivotButton="0" quotePrefix="0" xfId="0">
      <alignment horizontal="center" vertical="center"/>
    </xf>
    <xf numFmtId="3" fontId="22" fillId="13" borderId="1" applyAlignment="1" pivotButton="0" quotePrefix="0" xfId="0">
      <alignment horizontal="center" vertical="center"/>
    </xf>
    <xf numFmtId="3" fontId="23" fillId="13" borderId="1" applyAlignment="1" pivotButton="0" quotePrefix="0" xfId="0">
      <alignment horizontal="center" vertical="center"/>
    </xf>
    <xf numFmtId="3" fontId="24" fillId="13" borderId="1" applyAlignment="1" pivotButton="0" quotePrefix="0" xfId="0">
      <alignment horizontal="center" vertical="center"/>
    </xf>
    <xf numFmtId="3" fontId="25" fillId="1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center" vertical="center"/>
    </xf>
    <xf numFmtId="3" fontId="20" fillId="19" borderId="1" applyAlignment="1" pivotButton="0" quotePrefix="0" xfId="0">
      <alignment horizontal="center" vertical="center"/>
    </xf>
    <xf numFmtId="3" fontId="21" fillId="19" borderId="1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3" fontId="4" fillId="12" borderId="1" applyAlignment="1" pivotButton="0" quotePrefix="0" xfId="0">
      <alignment horizontal="center" vertical="center"/>
    </xf>
    <xf numFmtId="3" fontId="4" fillId="17" borderId="1" applyAlignment="1" pivotButton="0" quotePrefix="0" xfId="0">
      <alignment horizontal="center" vertical="center"/>
    </xf>
    <xf numFmtId="3" fontId="4" fillId="20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3" customWidth="1" min="4" max="4"/>
    <col width="13" customWidth="1" min="5" max="5"/>
    <col width="13" customWidth="1" min="6" max="6"/>
    <col width="14" customWidth="1" min="7" max="7"/>
    <col width="15" customWidth="1" min="8" max="8"/>
    <col width="3" customWidth="1" min="9" max="9"/>
    <col width="16" customWidth="1" min="10" max="10"/>
    <col width="13" customWidth="1" min="11" max="11"/>
  </cols>
  <sheetData>
    <row r="2">
      <c r="A2" s="1" t="inlineStr">
        <is>
          <t>BÁO CÁO TIẾN ĐỘ SẢN XUẤT CHUYỀN MAY</t>
        </is>
      </c>
    </row>
    <row r="3">
      <c r="A3" s="2">
        <f>"Mã đơn: Đơn 050  |  Ngày: 22/09/2026  |  Tổng đơn: 1.623 đôi  |  May thực nhận: " &amp; TEXT(B57,"#,##0") &amp; " đôi  |  Chuẩn bị còn nợ: " &amp; TEXT(1623-B57,"#,##0") &amp; " đôi"</f>
        <v/>
      </c>
    </row>
    <row r="5" ht="20" customHeight="1">
      <c r="A5" s="3" t="inlineStr">
        <is>
          <t>LÔ 1
Kế hoạch:
1,230 đôi</t>
        </is>
      </c>
      <c r="B5" s="4" t="inlineStr">
        <is>
          <t>TỔNG NHẬP</t>
        </is>
      </c>
      <c r="C5" s="5" t="n"/>
      <c r="D5" s="5" t="n"/>
      <c r="E5" s="5" t="n"/>
      <c r="F5" s="5" t="n"/>
      <c r="G5" s="5" t="n"/>
      <c r="H5" s="5" t="n"/>
      <c r="I5" s="5" t="n"/>
      <c r="J5" s="4" t="inlineStr">
        <is>
          <t>TỔNG XUẤT</t>
        </is>
      </c>
      <c r="K5" s="6" t="n"/>
    </row>
    <row r="6" ht="18" customHeight="1">
      <c r="A6" s="40" t="n"/>
      <c r="B6" s="7" t="inlineStr">
        <is>
          <t>VÀO CHUYỀN</t>
        </is>
      </c>
      <c r="C6" s="5" t="n"/>
      <c r="D6" s="5" t="n"/>
      <c r="E6" s="5" t="n"/>
      <c r="F6" s="5" t="n"/>
      <c r="G6" s="5" t="n"/>
      <c r="H6" s="5" t="n"/>
      <c r="I6" s="5" t="n"/>
      <c r="J6" s="8" t="inlineStr">
        <is>
          <t>ĐÃ GIAO KHÁCH
HÀNG</t>
        </is>
      </c>
      <c r="K6" s="6" t="n"/>
    </row>
    <row r="7" ht="22" customHeight="1">
      <c r="A7" s="40" t="n"/>
      <c r="B7" s="9" t="n">
        <v>1230</v>
      </c>
      <c r="C7" s="5" t="n"/>
      <c r="D7" s="5" t="n"/>
      <c r="E7" s="5" t="n"/>
      <c r="F7" s="5" t="n"/>
      <c r="G7" s="5" t="n"/>
      <c r="H7" s="5" t="n"/>
      <c r="I7" s="5" t="n"/>
      <c r="J7" s="10" t="n">
        <v>648</v>
      </c>
      <c r="K7" s="6" t="n"/>
    </row>
    <row r="8" ht="16" customHeight="1">
      <c r="A8" s="40" t="n"/>
      <c r="B8" s="11" t="inlineStr">
        <is>
          <t>Ký nhận BTP</t>
        </is>
      </c>
      <c r="C8" s="5" t="n"/>
      <c r="D8" s="5" t="n"/>
      <c r="E8" s="5" t="n"/>
      <c r="F8" s="5" t="n"/>
      <c r="G8" s="5" t="n"/>
      <c r="H8" s="5" t="n"/>
      <c r="I8" s="5" t="n"/>
      <c r="J8" s="11" t="inlineStr">
        <is>
          <t>Người thực hiện:</t>
        </is>
      </c>
      <c r="K8" s="6" t="n"/>
    </row>
    <row r="9" ht="20" customHeight="1">
      <c r="A9" s="40" t="n"/>
      <c r="B9" s="6" t="n"/>
      <c r="C9" s="5" t="n"/>
      <c r="D9" s="4" t="inlineStr">
        <is>
          <t>KIỂM TRA TỒN</t>
        </is>
      </c>
      <c r="E9" s="41" t="n"/>
      <c r="F9" s="41" t="n"/>
      <c r="G9" s="41" t="n"/>
      <c r="H9" s="42" t="n"/>
      <c r="I9" s="5" t="n"/>
      <c r="J9" s="12" t="inlineStr">
        <is>
          <t>TỔNG TỒN</t>
        </is>
      </c>
      <c r="K9" s="13" t="inlineStr">
        <is>
          <t>THIẾU</t>
        </is>
      </c>
    </row>
    <row r="10" ht="17" customHeight="1">
      <c r="A10" s="40" t="n"/>
      <c r="B10" s="6" t="n"/>
      <c r="C10" s="5" t="n"/>
      <c r="D10" s="14" t="inlineStr">
        <is>
          <t>2. ĐANG MAY</t>
        </is>
      </c>
      <c r="E10" s="14" t="inlineStr">
        <is>
          <t>3. TỒN KIỂM QC</t>
        </is>
      </c>
      <c r="F10" s="14" t="inlineStr">
        <is>
          <t>4. TỒN PHỐI ĐÔI</t>
        </is>
      </c>
      <c r="G10" s="15" t="inlineStr">
        <is>
          <t>5. TỒN ĐÓNG
GÓI</t>
        </is>
      </c>
      <c r="H10" s="15" t="inlineStr">
        <is>
          <t>6. TỒN KHO THÀNH
PHẨM</t>
        </is>
      </c>
      <c r="I10" s="5" t="n"/>
      <c r="J10" s="16">
        <f>D12+E12+F12+G12+H12</f>
        <v/>
      </c>
      <c r="K10" s="17">
        <f>B7-(J7+J10)</f>
        <v/>
      </c>
    </row>
    <row r="11" ht="16" customHeight="1">
      <c r="A11" s="40" t="n"/>
      <c r="B11" s="6" t="n"/>
      <c r="C11" s="5" t="n"/>
      <c r="D11" s="18" t="inlineStr">
        <is>
          <t>Tồn trên line</t>
        </is>
      </c>
      <c r="E11" s="18" t="inlineStr">
        <is>
          <t>Trạm kiểm QC</t>
        </is>
      </c>
      <c r="F11" s="18" t="inlineStr">
        <is>
          <t>Bàn phối đôi</t>
        </is>
      </c>
      <c r="G11" s="19" t="inlineStr">
        <is>
          <t>Bàn đóng gói</t>
        </is>
      </c>
      <c r="H11" s="19" t="inlineStr">
        <is>
          <t>Kho TP</t>
        </is>
      </c>
      <c r="I11" s="5" t="n"/>
      <c r="J11" s="40" t="n"/>
      <c r="K11" s="40" t="n"/>
    </row>
    <row r="12" ht="22" customHeight="1">
      <c r="A12" s="40" t="n"/>
      <c r="B12" s="6" t="n"/>
      <c r="C12" s="5" t="n"/>
      <c r="D12" s="20" t="n">
        <v>180</v>
      </c>
      <c r="E12" s="20" t="n">
        <v>60</v>
      </c>
      <c r="F12" s="20" t="n">
        <v>218</v>
      </c>
      <c r="G12" s="10" t="n">
        <v>123</v>
      </c>
      <c r="H12" s="10" t="n">
        <v>0</v>
      </c>
      <c r="I12" s="5" t="n"/>
      <c r="J12" s="43" t="n"/>
      <c r="K12" s="43" t="n"/>
    </row>
    <row r="13" ht="17" customHeight="1">
      <c r="A13" s="43" t="n"/>
      <c r="B13" s="6" t="n"/>
      <c r="C13" s="5" t="n"/>
      <c r="D13" s="11" t="inlineStr">
        <is>
          <t>Người thực hiện:</t>
        </is>
      </c>
      <c r="E13" s="11" t="inlineStr">
        <is>
          <t>Người thực hiện:</t>
        </is>
      </c>
      <c r="F13" s="11" t="inlineStr">
        <is>
          <t>Người thực hiện: Hà</t>
        </is>
      </c>
      <c r="G13" s="11" t="inlineStr">
        <is>
          <t>Người thực hiện: Hồng</t>
        </is>
      </c>
      <c r="H13" s="11" t="inlineStr">
        <is>
          <t>Người thực hiện:</t>
        </is>
      </c>
      <c r="I13" s="5" t="n"/>
      <c r="J13" s="11" t="inlineStr">
        <is>
          <t>Người thực hiện:</t>
        </is>
      </c>
      <c r="K13" s="6" t="inlineStr"/>
    </row>
    <row r="14" ht="10" customHeight="1"/>
    <row r="15" ht="20" customHeight="1">
      <c r="A15" s="3" t="inlineStr">
        <is>
          <t>LÔ 2
Kế hoạch:
267 đôi</t>
        </is>
      </c>
      <c r="B15" s="4" t="inlineStr">
        <is>
          <t>TỔNG NHẬP</t>
        </is>
      </c>
      <c r="C15" s="5" t="n"/>
      <c r="D15" s="5" t="n"/>
      <c r="E15" s="5" t="n"/>
      <c r="F15" s="5" t="n"/>
      <c r="G15" s="5" t="n"/>
      <c r="H15" s="5" t="n"/>
      <c r="I15" s="5" t="n"/>
      <c r="J15" s="4" t="inlineStr">
        <is>
          <t>TỔNG XUẤT</t>
        </is>
      </c>
      <c r="K15" s="6" t="n"/>
    </row>
    <row r="16" ht="18" customHeight="1">
      <c r="A16" s="40" t="n"/>
      <c r="B16" s="7" t="inlineStr">
        <is>
          <t>VÀO CHUYỀN</t>
        </is>
      </c>
      <c r="C16" s="5" t="n"/>
      <c r="D16" s="5" t="n"/>
      <c r="E16" s="5" t="n"/>
      <c r="F16" s="5" t="n"/>
      <c r="G16" s="5" t="n"/>
      <c r="H16" s="5" t="n"/>
      <c r="I16" s="5" t="n"/>
      <c r="J16" s="8" t="inlineStr">
        <is>
          <t>ĐÃ GIAO KHÁCH
HÀNG</t>
        </is>
      </c>
      <c r="K16" s="6" t="n"/>
    </row>
    <row r="17" ht="22" customHeight="1">
      <c r="A17" s="40" t="n"/>
      <c r="B17" s="9" t="n">
        <v>267</v>
      </c>
      <c r="C17" s="5" t="n"/>
      <c r="D17" s="5" t="n"/>
      <c r="E17" s="5" t="n"/>
      <c r="F17" s="5" t="n"/>
      <c r="G17" s="5" t="n"/>
      <c r="H17" s="5" t="n"/>
      <c r="I17" s="5" t="n"/>
      <c r="J17" s="10" t="n">
        <v>0</v>
      </c>
      <c r="K17" s="6" t="n"/>
    </row>
    <row r="18" ht="16" customHeight="1">
      <c r="A18" s="40" t="n"/>
      <c r="B18" s="11" t="inlineStr">
        <is>
          <t>Ký nhận BTP</t>
        </is>
      </c>
      <c r="C18" s="5" t="n"/>
      <c r="D18" s="5" t="n"/>
      <c r="E18" s="5" t="n"/>
      <c r="F18" s="5" t="n"/>
      <c r="G18" s="5" t="n"/>
      <c r="H18" s="5" t="n"/>
      <c r="I18" s="5" t="n"/>
      <c r="J18" s="11" t="inlineStr">
        <is>
          <t>Người thực hiện:</t>
        </is>
      </c>
      <c r="K18" s="6" t="n"/>
    </row>
    <row r="19" ht="20" customHeight="1">
      <c r="A19" s="40" t="n"/>
      <c r="B19" s="6" t="n"/>
      <c r="C19" s="5" t="n"/>
      <c r="D19" s="4" t="inlineStr">
        <is>
          <t>KIỂM TRA TỒN</t>
        </is>
      </c>
      <c r="E19" s="41" t="n"/>
      <c r="F19" s="41" t="n"/>
      <c r="G19" s="41" t="n"/>
      <c r="H19" s="42" t="n"/>
      <c r="I19" s="5" t="n"/>
      <c r="J19" s="12" t="inlineStr">
        <is>
          <t>TỔNG TỒN</t>
        </is>
      </c>
      <c r="K19" s="13" t="inlineStr">
        <is>
          <t>THIẾU</t>
        </is>
      </c>
    </row>
    <row r="20" ht="17" customHeight="1">
      <c r="A20" s="40" t="n"/>
      <c r="B20" s="6" t="n"/>
      <c r="C20" s="5" t="n"/>
      <c r="D20" s="14" t="inlineStr">
        <is>
          <t>2. ĐANG MAY</t>
        </is>
      </c>
      <c r="E20" s="14" t="inlineStr">
        <is>
          <t>3. TỒN KIỂM QC</t>
        </is>
      </c>
      <c r="F20" s="14" t="inlineStr">
        <is>
          <t>4. TỒN PHỐI ĐÔI</t>
        </is>
      </c>
      <c r="G20" s="15" t="inlineStr">
        <is>
          <t>5. TỒN ĐÓNG
GÓI</t>
        </is>
      </c>
      <c r="H20" s="15" t="inlineStr">
        <is>
          <t>6. TỒN KHO THÀNH
PHẨM</t>
        </is>
      </c>
      <c r="I20" s="5" t="n"/>
      <c r="J20" s="16">
        <f>D22+E22+F22+G22+H22</f>
        <v/>
      </c>
      <c r="K20" s="17">
        <f>B17-(J17+J20)</f>
        <v/>
      </c>
    </row>
    <row r="21" ht="16" customHeight="1">
      <c r="A21" s="40" t="n"/>
      <c r="B21" s="6" t="n"/>
      <c r="C21" s="5" t="n"/>
      <c r="D21" s="18" t="inlineStr">
        <is>
          <t>Tồn trên line</t>
        </is>
      </c>
      <c r="E21" s="18" t="inlineStr">
        <is>
          <t>Trạm kiểm QC</t>
        </is>
      </c>
      <c r="F21" s="18" t="inlineStr">
        <is>
          <t>Bàn phối đôi</t>
        </is>
      </c>
      <c r="G21" s="19" t="inlineStr">
        <is>
          <t>Bàn đóng gói</t>
        </is>
      </c>
      <c r="H21" s="19" t="inlineStr">
        <is>
          <t>Kho TP</t>
        </is>
      </c>
      <c r="I21" s="5" t="n"/>
      <c r="J21" s="40" t="n"/>
      <c r="K21" s="40" t="n"/>
    </row>
    <row r="22" ht="22" customHeight="1">
      <c r="A22" s="40" t="n"/>
      <c r="B22" s="6" t="n"/>
      <c r="C22" s="5" t="n"/>
      <c r="D22" s="20" t="n">
        <v>250</v>
      </c>
      <c r="E22" s="20" t="n">
        <v>0</v>
      </c>
      <c r="F22" s="20" t="n">
        <v>0</v>
      </c>
      <c r="G22" s="10" t="n">
        <v>0</v>
      </c>
      <c r="H22" s="10" t="n">
        <v>0</v>
      </c>
      <c r="I22" s="5" t="n"/>
      <c r="J22" s="43" t="n"/>
      <c r="K22" s="43" t="n"/>
    </row>
    <row r="23" ht="17" customHeight="1">
      <c r="A23" s="43" t="n"/>
      <c r="B23" s="6" t="n"/>
      <c r="C23" s="5" t="n"/>
      <c r="D23" s="11" t="inlineStr">
        <is>
          <t>Người thực hiện:</t>
        </is>
      </c>
      <c r="E23" s="11" t="inlineStr">
        <is>
          <t>Người thực hiện:</t>
        </is>
      </c>
      <c r="F23" s="11" t="inlineStr">
        <is>
          <t>Người thực hiện: Hà</t>
        </is>
      </c>
      <c r="G23" s="11" t="inlineStr">
        <is>
          <t>Người thực hiện: Hồng</t>
        </is>
      </c>
      <c r="H23" s="11" t="inlineStr">
        <is>
          <t>Người thực hiện:</t>
        </is>
      </c>
      <c r="I23" s="5" t="n"/>
      <c r="J23" s="11" t="inlineStr">
        <is>
          <t>Người thực hiện:</t>
        </is>
      </c>
      <c r="K23" s="6" t="inlineStr"/>
    </row>
    <row r="24" ht="10" customHeight="1"/>
    <row r="25" ht="20" customHeight="1">
      <c r="A25" s="21" t="inlineStr">
        <is>
          <t>LÔ 3
(Chưa chạy)</t>
        </is>
      </c>
      <c r="B25" s="4" t="inlineStr">
        <is>
          <t>TỔNG NHẬP</t>
        </is>
      </c>
      <c r="C25" s="5" t="n"/>
      <c r="D25" s="5" t="n"/>
      <c r="E25" s="5" t="n"/>
      <c r="F25" s="5" t="n"/>
      <c r="G25" s="5" t="n"/>
      <c r="H25" s="5" t="n"/>
      <c r="I25" s="5" t="n"/>
      <c r="J25" s="4" t="inlineStr">
        <is>
          <t>TỔNG XUẤT</t>
        </is>
      </c>
      <c r="K25" s="6" t="n"/>
    </row>
    <row r="26" ht="18" customHeight="1">
      <c r="A26" s="40" t="n"/>
      <c r="B26" s="7" t="inlineStr">
        <is>
          <t>VÀO CHUYỀN</t>
        </is>
      </c>
      <c r="C26" s="5" t="n"/>
      <c r="D26" s="5" t="n"/>
      <c r="E26" s="5" t="n"/>
      <c r="F26" s="5" t="n"/>
      <c r="G26" s="5" t="n"/>
      <c r="H26" s="5" t="n"/>
      <c r="I26" s="5" t="n"/>
      <c r="J26" s="8" t="inlineStr">
        <is>
          <t>ĐÃ GIAO KHÁCH
HÀNG</t>
        </is>
      </c>
      <c r="K26" s="6" t="n"/>
    </row>
    <row r="27" ht="22" customHeight="1">
      <c r="A27" s="40" t="n"/>
      <c r="B27" s="9" t="n">
        <v>0</v>
      </c>
      <c r="C27" s="5" t="n"/>
      <c r="D27" s="5" t="n"/>
      <c r="E27" s="5" t="n"/>
      <c r="F27" s="5" t="n"/>
      <c r="G27" s="5" t="n"/>
      <c r="H27" s="5" t="n"/>
      <c r="I27" s="5" t="n"/>
      <c r="J27" s="10" t="n">
        <v>0</v>
      </c>
      <c r="K27" s="6" t="n"/>
    </row>
    <row r="28" ht="16" customHeight="1">
      <c r="A28" s="40" t="n"/>
      <c r="B28" s="11" t="inlineStr">
        <is>
          <t>Ký nhận BTP</t>
        </is>
      </c>
      <c r="C28" s="5" t="n"/>
      <c r="D28" s="5" t="n"/>
      <c r="E28" s="5" t="n"/>
      <c r="F28" s="5" t="n"/>
      <c r="G28" s="5" t="n"/>
      <c r="H28" s="5" t="n"/>
      <c r="I28" s="5" t="n"/>
      <c r="J28" s="11" t="inlineStr">
        <is>
          <t>Người thực hiện:</t>
        </is>
      </c>
      <c r="K28" s="6" t="n"/>
    </row>
    <row r="29" ht="20" customHeight="1">
      <c r="A29" s="40" t="n"/>
      <c r="B29" s="6" t="n"/>
      <c r="C29" s="5" t="n"/>
      <c r="D29" s="4" t="inlineStr">
        <is>
          <t>KIỂM TRA TỒN</t>
        </is>
      </c>
      <c r="E29" s="41" t="n"/>
      <c r="F29" s="41" t="n"/>
      <c r="G29" s="41" t="n"/>
      <c r="H29" s="42" t="n"/>
      <c r="I29" s="5" t="n"/>
      <c r="J29" s="12" t="inlineStr">
        <is>
          <t>TỔNG TỒN</t>
        </is>
      </c>
      <c r="K29" s="13" t="inlineStr">
        <is>
          <t>THIẾU</t>
        </is>
      </c>
    </row>
    <row r="30" ht="17" customHeight="1">
      <c r="A30" s="40" t="n"/>
      <c r="B30" s="6" t="n"/>
      <c r="C30" s="5" t="n"/>
      <c r="D30" s="14" t="inlineStr">
        <is>
          <t>2. ĐANG MAY</t>
        </is>
      </c>
      <c r="E30" s="14" t="inlineStr">
        <is>
          <t>3. TỒN KIỂM QC</t>
        </is>
      </c>
      <c r="F30" s="14" t="inlineStr">
        <is>
          <t>4. TỒN PHỐI ĐÔI</t>
        </is>
      </c>
      <c r="G30" s="15" t="inlineStr">
        <is>
          <t>5. TỒN ĐÓNG
GÓI</t>
        </is>
      </c>
      <c r="H30" s="15" t="inlineStr">
        <is>
          <t>6. TỒN KHO THÀNH
PHẨM</t>
        </is>
      </c>
      <c r="I30" s="5" t="n"/>
      <c r="J30" s="16">
        <f>D32+E32+F32+G32+H32</f>
        <v/>
      </c>
      <c r="K30" s="17">
        <f>B27-(J27+J30)</f>
        <v/>
      </c>
    </row>
    <row r="31" ht="16" customHeight="1">
      <c r="A31" s="40" t="n"/>
      <c r="B31" s="6" t="n"/>
      <c r="C31" s="5" t="n"/>
      <c r="D31" s="18" t="inlineStr">
        <is>
          <t>Tồn trên line</t>
        </is>
      </c>
      <c r="E31" s="18" t="inlineStr">
        <is>
          <t>Trạm kiểm QC</t>
        </is>
      </c>
      <c r="F31" s="18" t="inlineStr">
        <is>
          <t>Bàn phối đôi</t>
        </is>
      </c>
      <c r="G31" s="19" t="inlineStr">
        <is>
          <t>Bàn đóng gói</t>
        </is>
      </c>
      <c r="H31" s="19" t="inlineStr">
        <is>
          <t>Kho TP</t>
        </is>
      </c>
      <c r="I31" s="5" t="n"/>
      <c r="J31" s="40" t="n"/>
      <c r="K31" s="40" t="n"/>
    </row>
    <row r="32" ht="22" customHeight="1">
      <c r="A32" s="40" t="n"/>
      <c r="B32" s="6" t="n"/>
      <c r="C32" s="5" t="n"/>
      <c r="D32" s="20" t="n">
        <v>0</v>
      </c>
      <c r="E32" s="20" t="n">
        <v>0</v>
      </c>
      <c r="F32" s="20" t="n">
        <v>0</v>
      </c>
      <c r="G32" s="10" t="n">
        <v>0</v>
      </c>
      <c r="H32" s="10" t="n">
        <v>0</v>
      </c>
      <c r="I32" s="5" t="n"/>
      <c r="J32" s="43" t="n"/>
      <c r="K32" s="43" t="n"/>
    </row>
    <row r="33" ht="17" customHeight="1">
      <c r="A33" s="43" t="n"/>
      <c r="B33" s="6" t="n"/>
      <c r="C33" s="5" t="n"/>
      <c r="D33" s="11" t="inlineStr">
        <is>
          <t>Người thực hiện:</t>
        </is>
      </c>
      <c r="E33" s="11" t="inlineStr">
        <is>
          <t>Người thực hiện:</t>
        </is>
      </c>
      <c r="F33" s="11" t="inlineStr">
        <is>
          <t>Người thực hiện: Hà</t>
        </is>
      </c>
      <c r="G33" s="11" t="inlineStr">
        <is>
          <t>Người thực hiện: Hồng</t>
        </is>
      </c>
      <c r="H33" s="11" t="inlineStr">
        <is>
          <t>Người thực hiện:</t>
        </is>
      </c>
      <c r="I33" s="5" t="n"/>
      <c r="J33" s="11" t="inlineStr">
        <is>
          <t>Người thực hiện:</t>
        </is>
      </c>
      <c r="K33" s="6" t="inlineStr"/>
    </row>
    <row r="34" ht="10" customHeight="1"/>
    <row r="35" ht="20" customHeight="1">
      <c r="A35" s="21" t="inlineStr">
        <is>
          <t>LÔ 4
(Chưa chạy)</t>
        </is>
      </c>
      <c r="B35" s="4" t="inlineStr">
        <is>
          <t>TỔNG NHẬP</t>
        </is>
      </c>
      <c r="C35" s="5" t="n"/>
      <c r="D35" s="5" t="n"/>
      <c r="E35" s="5" t="n"/>
      <c r="F35" s="5" t="n"/>
      <c r="G35" s="5" t="n"/>
      <c r="H35" s="5" t="n"/>
      <c r="I35" s="5" t="n"/>
      <c r="J35" s="4" t="inlineStr">
        <is>
          <t>TỔNG XUẤT</t>
        </is>
      </c>
      <c r="K35" s="6" t="n"/>
    </row>
    <row r="36" ht="18" customHeight="1">
      <c r="A36" s="40" t="n"/>
      <c r="B36" s="7" t="inlineStr">
        <is>
          <t>VÀO CHUYỀN</t>
        </is>
      </c>
      <c r="C36" s="5" t="n"/>
      <c r="D36" s="5" t="n"/>
      <c r="E36" s="5" t="n"/>
      <c r="F36" s="5" t="n"/>
      <c r="G36" s="5" t="n"/>
      <c r="H36" s="5" t="n"/>
      <c r="I36" s="5" t="n"/>
      <c r="J36" s="8" t="inlineStr">
        <is>
          <t>ĐÃ GIAO KHÁCH
HÀNG</t>
        </is>
      </c>
      <c r="K36" s="6" t="n"/>
    </row>
    <row r="37" ht="22" customHeight="1">
      <c r="A37" s="40" t="n"/>
      <c r="B37" s="9" t="n">
        <v>0</v>
      </c>
      <c r="C37" s="5" t="n"/>
      <c r="D37" s="5" t="n"/>
      <c r="E37" s="5" t="n"/>
      <c r="F37" s="5" t="n"/>
      <c r="G37" s="5" t="n"/>
      <c r="H37" s="5" t="n"/>
      <c r="I37" s="5" t="n"/>
      <c r="J37" s="10" t="n">
        <v>0</v>
      </c>
      <c r="K37" s="6" t="n"/>
    </row>
    <row r="38" ht="16" customHeight="1">
      <c r="A38" s="40" t="n"/>
      <c r="B38" s="11" t="inlineStr">
        <is>
          <t>Ký nhận BTP</t>
        </is>
      </c>
      <c r="C38" s="5" t="n"/>
      <c r="D38" s="5" t="n"/>
      <c r="E38" s="5" t="n"/>
      <c r="F38" s="5" t="n"/>
      <c r="G38" s="5" t="n"/>
      <c r="H38" s="5" t="n"/>
      <c r="I38" s="5" t="n"/>
      <c r="J38" s="11" t="inlineStr">
        <is>
          <t>Người thực hiện:</t>
        </is>
      </c>
      <c r="K38" s="6" t="n"/>
    </row>
    <row r="39" ht="20" customHeight="1">
      <c r="A39" s="40" t="n"/>
      <c r="B39" s="6" t="n"/>
      <c r="C39" s="5" t="n"/>
      <c r="D39" s="4" t="inlineStr">
        <is>
          <t>KIỂM TRA TỒN</t>
        </is>
      </c>
      <c r="E39" s="41" t="n"/>
      <c r="F39" s="41" t="n"/>
      <c r="G39" s="41" t="n"/>
      <c r="H39" s="42" t="n"/>
      <c r="I39" s="5" t="n"/>
      <c r="J39" s="12" t="inlineStr">
        <is>
          <t>TỔNG TỒN</t>
        </is>
      </c>
      <c r="K39" s="13" t="inlineStr">
        <is>
          <t>THIẾU</t>
        </is>
      </c>
    </row>
    <row r="40" ht="17" customHeight="1">
      <c r="A40" s="40" t="n"/>
      <c r="B40" s="6" t="n"/>
      <c r="C40" s="5" t="n"/>
      <c r="D40" s="14" t="inlineStr">
        <is>
          <t>2. ĐANG MAY</t>
        </is>
      </c>
      <c r="E40" s="14" t="inlineStr">
        <is>
          <t>3. TỒN KIỂM QC</t>
        </is>
      </c>
      <c r="F40" s="14" t="inlineStr">
        <is>
          <t>4. TỒN PHỐI ĐÔI</t>
        </is>
      </c>
      <c r="G40" s="15" t="inlineStr">
        <is>
          <t>5. TỒN ĐÓNG
GÓI</t>
        </is>
      </c>
      <c r="H40" s="15" t="inlineStr">
        <is>
          <t>6. TỒN KHO THÀNH
PHẨM</t>
        </is>
      </c>
      <c r="I40" s="5" t="n"/>
      <c r="J40" s="16">
        <f>D42+E42+F42+G42+H42</f>
        <v/>
      </c>
      <c r="K40" s="17">
        <f>B37-(J37+J40)</f>
        <v/>
      </c>
    </row>
    <row r="41" ht="16" customHeight="1">
      <c r="A41" s="40" t="n"/>
      <c r="B41" s="6" t="n"/>
      <c r="C41" s="5" t="n"/>
      <c r="D41" s="18" t="inlineStr">
        <is>
          <t>Tồn trên line</t>
        </is>
      </c>
      <c r="E41" s="18" t="inlineStr">
        <is>
          <t>Trạm kiểm QC</t>
        </is>
      </c>
      <c r="F41" s="18" t="inlineStr">
        <is>
          <t>Bàn phối đôi</t>
        </is>
      </c>
      <c r="G41" s="19" t="inlineStr">
        <is>
          <t>Bàn đóng gói</t>
        </is>
      </c>
      <c r="H41" s="19" t="inlineStr">
        <is>
          <t>Kho TP</t>
        </is>
      </c>
      <c r="I41" s="5" t="n"/>
      <c r="J41" s="40" t="n"/>
      <c r="K41" s="40" t="n"/>
    </row>
    <row r="42" ht="22" customHeight="1">
      <c r="A42" s="40" t="n"/>
      <c r="B42" s="6" t="n"/>
      <c r="C42" s="5" t="n"/>
      <c r="D42" s="20" t="n">
        <v>0</v>
      </c>
      <c r="E42" s="20" t="n">
        <v>0</v>
      </c>
      <c r="F42" s="20" t="n">
        <v>0</v>
      </c>
      <c r="G42" s="10" t="n">
        <v>0</v>
      </c>
      <c r="H42" s="10" t="n">
        <v>0</v>
      </c>
      <c r="I42" s="5" t="n"/>
      <c r="J42" s="43" t="n"/>
      <c r="K42" s="43" t="n"/>
    </row>
    <row r="43" ht="17" customHeight="1">
      <c r="A43" s="43" t="n"/>
      <c r="B43" s="6" t="n"/>
      <c r="C43" s="5" t="n"/>
      <c r="D43" s="11" t="inlineStr">
        <is>
          <t>Người thực hiện:</t>
        </is>
      </c>
      <c r="E43" s="11" t="inlineStr">
        <is>
          <t>Người thực hiện:</t>
        </is>
      </c>
      <c r="F43" s="11" t="inlineStr">
        <is>
          <t>Người thực hiện: Hà</t>
        </is>
      </c>
      <c r="G43" s="11" t="inlineStr">
        <is>
          <t>Người thực hiện: Hồng</t>
        </is>
      </c>
      <c r="H43" s="11" t="inlineStr">
        <is>
          <t>Người thực hiện:</t>
        </is>
      </c>
      <c r="I43" s="5" t="n"/>
      <c r="J43" s="11" t="inlineStr">
        <is>
          <t>Người thực hiện:</t>
        </is>
      </c>
      <c r="K43" s="6" t="inlineStr"/>
    </row>
    <row r="44" ht="10" customHeight="1"/>
    <row r="45" ht="20" customHeight="1">
      <c r="A45" s="21" t="inlineStr">
        <is>
          <t>LÔ 5
(Chưa chạy)</t>
        </is>
      </c>
      <c r="B45" s="4" t="inlineStr">
        <is>
          <t>TỔNG NHẬP</t>
        </is>
      </c>
      <c r="C45" s="5" t="n"/>
      <c r="D45" s="5" t="n"/>
      <c r="E45" s="5" t="n"/>
      <c r="F45" s="5" t="n"/>
      <c r="G45" s="5" t="n"/>
      <c r="H45" s="5" t="n"/>
      <c r="I45" s="5" t="n"/>
      <c r="J45" s="4" t="inlineStr">
        <is>
          <t>TỔNG XUẤT</t>
        </is>
      </c>
      <c r="K45" s="6" t="n"/>
    </row>
    <row r="46" ht="18" customHeight="1">
      <c r="A46" s="40" t="n"/>
      <c r="B46" s="7" t="inlineStr">
        <is>
          <t>VÀO CHUYỀN</t>
        </is>
      </c>
      <c r="C46" s="5" t="n"/>
      <c r="D46" s="5" t="n"/>
      <c r="E46" s="5" t="n"/>
      <c r="F46" s="5" t="n"/>
      <c r="G46" s="5" t="n"/>
      <c r="H46" s="5" t="n"/>
      <c r="I46" s="5" t="n"/>
      <c r="J46" s="8" t="inlineStr">
        <is>
          <t>ĐÃ GIAO KHÁCH
HÀNG</t>
        </is>
      </c>
      <c r="K46" s="6" t="n"/>
    </row>
    <row r="47" ht="22" customHeight="1">
      <c r="A47" s="40" t="n"/>
      <c r="B47" s="9" t="n">
        <v>0</v>
      </c>
      <c r="C47" s="5" t="n"/>
      <c r="D47" s="5" t="n"/>
      <c r="E47" s="5" t="n"/>
      <c r="F47" s="5" t="n"/>
      <c r="G47" s="5" t="n"/>
      <c r="H47" s="5" t="n"/>
      <c r="I47" s="5" t="n"/>
      <c r="J47" s="10" t="n">
        <v>0</v>
      </c>
      <c r="K47" s="6" t="n"/>
    </row>
    <row r="48" ht="16" customHeight="1">
      <c r="A48" s="40" t="n"/>
      <c r="B48" s="11" t="inlineStr">
        <is>
          <t>Ký nhận BTP</t>
        </is>
      </c>
      <c r="C48" s="5" t="n"/>
      <c r="D48" s="5" t="n"/>
      <c r="E48" s="5" t="n"/>
      <c r="F48" s="5" t="n"/>
      <c r="G48" s="5" t="n"/>
      <c r="H48" s="5" t="n"/>
      <c r="I48" s="5" t="n"/>
      <c r="J48" s="11" t="inlineStr">
        <is>
          <t>Người thực hiện:</t>
        </is>
      </c>
      <c r="K48" s="6" t="n"/>
    </row>
    <row r="49" ht="20" customHeight="1">
      <c r="A49" s="40" t="n"/>
      <c r="B49" s="6" t="n"/>
      <c r="C49" s="5" t="n"/>
      <c r="D49" s="4" t="inlineStr">
        <is>
          <t>KIỂM TRA TỒN</t>
        </is>
      </c>
      <c r="E49" s="41" t="n"/>
      <c r="F49" s="41" t="n"/>
      <c r="G49" s="41" t="n"/>
      <c r="H49" s="42" t="n"/>
      <c r="I49" s="5" t="n"/>
      <c r="J49" s="12" t="inlineStr">
        <is>
          <t>TỔNG TỒN</t>
        </is>
      </c>
      <c r="K49" s="13" t="inlineStr">
        <is>
          <t>THIẾU</t>
        </is>
      </c>
    </row>
    <row r="50" ht="17" customHeight="1">
      <c r="A50" s="40" t="n"/>
      <c r="B50" s="6" t="n"/>
      <c r="C50" s="5" t="n"/>
      <c r="D50" s="14" t="inlineStr">
        <is>
          <t>2. ĐANG MAY</t>
        </is>
      </c>
      <c r="E50" s="14" t="inlineStr">
        <is>
          <t>3. TỒN KIỂM QC</t>
        </is>
      </c>
      <c r="F50" s="14" t="inlineStr">
        <is>
          <t>4. TỒN PHỐI ĐÔI</t>
        </is>
      </c>
      <c r="G50" s="15" t="inlineStr">
        <is>
          <t>5. TỒN ĐÓNG
GÓI</t>
        </is>
      </c>
      <c r="H50" s="15" t="inlineStr">
        <is>
          <t>6. TỒN KHO THÀNH
PHẨM</t>
        </is>
      </c>
      <c r="I50" s="5" t="n"/>
      <c r="J50" s="16">
        <f>D52+E52+F52+G52+H52</f>
        <v/>
      </c>
      <c r="K50" s="17">
        <f>B47-(J47+J50)</f>
        <v/>
      </c>
    </row>
    <row r="51" ht="16" customHeight="1">
      <c r="A51" s="40" t="n"/>
      <c r="B51" s="6" t="n"/>
      <c r="C51" s="5" t="n"/>
      <c r="D51" s="18" t="inlineStr">
        <is>
          <t>Tồn trên line</t>
        </is>
      </c>
      <c r="E51" s="18" t="inlineStr">
        <is>
          <t>Trạm kiểm QC</t>
        </is>
      </c>
      <c r="F51" s="18" t="inlineStr">
        <is>
          <t>Bàn phối đôi</t>
        </is>
      </c>
      <c r="G51" s="19" t="inlineStr">
        <is>
          <t>Bàn đóng gói</t>
        </is>
      </c>
      <c r="H51" s="19" t="inlineStr">
        <is>
          <t>Kho TP</t>
        </is>
      </c>
      <c r="I51" s="5" t="n"/>
      <c r="J51" s="40" t="n"/>
      <c r="K51" s="40" t="n"/>
    </row>
    <row r="52" ht="22" customHeight="1">
      <c r="A52" s="40" t="n"/>
      <c r="B52" s="6" t="n"/>
      <c r="C52" s="5" t="n"/>
      <c r="D52" s="20" t="n">
        <v>0</v>
      </c>
      <c r="E52" s="20" t="n">
        <v>0</v>
      </c>
      <c r="F52" s="20" t="n">
        <v>0</v>
      </c>
      <c r="G52" s="10" t="n">
        <v>0</v>
      </c>
      <c r="H52" s="10" t="n">
        <v>0</v>
      </c>
      <c r="I52" s="5" t="n"/>
      <c r="J52" s="43" t="n"/>
      <c r="K52" s="43" t="n"/>
    </row>
    <row r="53" ht="17" customHeight="1">
      <c r="A53" s="43" t="n"/>
      <c r="B53" s="6" t="n"/>
      <c r="C53" s="5" t="n"/>
      <c r="D53" s="11" t="inlineStr">
        <is>
          <t>Người thực hiện:</t>
        </is>
      </c>
      <c r="E53" s="11" t="inlineStr">
        <is>
          <t>Người thực hiện:</t>
        </is>
      </c>
      <c r="F53" s="11" t="inlineStr">
        <is>
          <t>Người thực hiện: Hà</t>
        </is>
      </c>
      <c r="G53" s="11" t="inlineStr">
        <is>
          <t>Người thực hiện: Hồng</t>
        </is>
      </c>
      <c r="H53" s="11" t="inlineStr">
        <is>
          <t>Người thực hiện:</t>
        </is>
      </c>
      <c r="I53" s="5" t="n"/>
      <c r="J53" s="11" t="inlineStr">
        <is>
          <t>Người thực hiện:</t>
        </is>
      </c>
      <c r="K53" s="6" t="inlineStr"/>
    </row>
    <row r="54" ht="10" customHeight="1"/>
    <row r="55" ht="20" customHeight="1">
      <c r="A55" s="22" t="inlineStr">
        <is>
          <t>TỔNG
CHUYỀN
(5 LÔ)</t>
        </is>
      </c>
      <c r="B55" s="4" t="inlineStr">
        <is>
          <t>TỔNG NHẬP</t>
        </is>
      </c>
      <c r="C55" s="5" t="n"/>
      <c r="D55" s="5" t="n"/>
      <c r="E55" s="5" t="n"/>
      <c r="F55" s="5" t="n"/>
      <c r="G55" s="5" t="n"/>
      <c r="H55" s="5" t="n"/>
      <c r="I55" s="5" t="n"/>
      <c r="J55" s="4" t="inlineStr">
        <is>
          <t>TỔNG XUẤT</t>
        </is>
      </c>
      <c r="K55" s="5" t="n"/>
    </row>
    <row r="56" ht="18" customHeight="1">
      <c r="A56" s="40" t="n"/>
      <c r="B56" s="7" t="inlineStr">
        <is>
          <t>VÀO CHUYỀN</t>
        </is>
      </c>
      <c r="C56" s="5" t="n"/>
      <c r="D56" s="5" t="n"/>
      <c r="E56" s="5" t="n"/>
      <c r="F56" s="5" t="n"/>
      <c r="G56" s="5" t="n"/>
      <c r="H56" s="5" t="n"/>
      <c r="I56" s="5" t="n"/>
      <c r="J56" s="8" t="inlineStr">
        <is>
          <t>ĐÃ GIAO KHÁCH
HÀNG</t>
        </is>
      </c>
      <c r="K56" s="5" t="n"/>
    </row>
    <row r="57" ht="22" customHeight="1">
      <c r="A57" s="40" t="n"/>
      <c r="B57" s="23">
        <f>B7+B17+B27+B37+B47</f>
        <v/>
      </c>
      <c r="C57" s="5" t="n"/>
      <c r="D57" s="5" t="n"/>
      <c r="E57" s="5" t="n"/>
      <c r="F57" s="5" t="n"/>
      <c r="G57" s="5" t="n"/>
      <c r="H57" s="5" t="n"/>
      <c r="I57" s="5" t="n"/>
      <c r="J57" s="24">
        <f>J7+J17+J27+J37+J47</f>
        <v/>
      </c>
      <c r="K57" s="5" t="n"/>
    </row>
    <row r="58" ht="16" customHeight="1">
      <c r="A58" s="40" t="n"/>
      <c r="B58" s="25" t="inlineStr">
        <is>
          <t>Tổng BTP nhận</t>
        </is>
      </c>
      <c r="C58" s="5" t="n"/>
      <c r="D58" s="5" t="n"/>
      <c r="E58" s="5" t="n"/>
      <c r="F58" s="5" t="n"/>
      <c r="G58" s="5" t="n"/>
      <c r="H58" s="5" t="n"/>
      <c r="I58" s="5" t="n"/>
      <c r="J58" s="25" t="inlineStr">
        <is>
          <t>Tổng đã giao</t>
        </is>
      </c>
      <c r="K58" s="5" t="n"/>
    </row>
    <row r="59" ht="20" customHeight="1">
      <c r="A59" s="40" t="n"/>
      <c r="B59" s="26" t="n"/>
      <c r="C59" s="5" t="n"/>
      <c r="D59" s="4" t="inlineStr">
        <is>
          <t>KIỂM TRA TỒN TOÀN CHUYỀN</t>
        </is>
      </c>
      <c r="E59" s="41" t="n"/>
      <c r="F59" s="41" t="n"/>
      <c r="G59" s="41" t="n"/>
      <c r="H59" s="42" t="n"/>
      <c r="I59" s="5" t="n"/>
      <c r="J59" s="12" t="inlineStr">
        <is>
          <t>TỔNG TỒN</t>
        </is>
      </c>
      <c r="K59" s="13" t="inlineStr">
        <is>
          <t>THIẾU</t>
        </is>
      </c>
    </row>
    <row r="60" ht="17" customHeight="1">
      <c r="A60" s="40" t="n"/>
      <c r="B60" s="26" t="n"/>
      <c r="C60" s="5" t="n"/>
      <c r="D60" s="14" t="inlineStr">
        <is>
          <t>2. TỔNG MAY</t>
        </is>
      </c>
      <c r="E60" s="14" t="inlineStr">
        <is>
          <t>3. TỒN QC</t>
        </is>
      </c>
      <c r="F60" s="14" t="inlineStr">
        <is>
          <t>4. TỒN PHỐI</t>
        </is>
      </c>
      <c r="G60" s="15" t="inlineStr">
        <is>
          <t>5. TỒN Đ.GÓI</t>
        </is>
      </c>
      <c r="H60" s="15" t="inlineStr">
        <is>
          <t>6. TỒN KHO TP</t>
        </is>
      </c>
      <c r="I60" s="5" t="n"/>
      <c r="J60" s="27">
        <f>D62+E62+F62+G62+H62</f>
        <v/>
      </c>
      <c r="K60" s="28">
        <f>B57-(J57+J60)</f>
        <v/>
      </c>
    </row>
    <row r="61" ht="16" customHeight="1">
      <c r="A61" s="40" t="n"/>
      <c r="B61" s="26" t="n"/>
      <c r="C61" s="5" t="n"/>
      <c r="D61" s="18" t="inlineStr">
        <is>
          <t>Line may</t>
        </is>
      </c>
      <c r="E61" s="18" t="inlineStr">
        <is>
          <t>Trạm QC</t>
        </is>
      </c>
      <c r="F61" s="18" t="inlineStr">
        <is>
          <t>Bàn phối</t>
        </is>
      </c>
      <c r="G61" s="19" t="inlineStr">
        <is>
          <t>Đóng gói</t>
        </is>
      </c>
      <c r="H61" s="19" t="inlineStr">
        <is>
          <t>Kho TP</t>
        </is>
      </c>
      <c r="I61" s="5" t="n"/>
      <c r="J61" s="40" t="n"/>
      <c r="K61" s="40" t="n"/>
    </row>
    <row r="62" ht="22" customHeight="1">
      <c r="A62" s="40" t="n"/>
      <c r="B62" s="26" t="n"/>
      <c r="C62" s="5" t="n"/>
      <c r="D62" s="29">
        <f>D12+D22+D32+D42+D52</f>
        <v/>
      </c>
      <c r="E62" s="29">
        <f>E12+E22+E32+E42+E52</f>
        <v/>
      </c>
      <c r="F62" s="29">
        <f>F12+F22+F32+F42+F52</f>
        <v/>
      </c>
      <c r="G62" s="24">
        <f>G12+G22+G32+G42+G52</f>
        <v/>
      </c>
      <c r="H62" s="24">
        <f>H12+H22+H32+H42+H52</f>
        <v/>
      </c>
      <c r="I62" s="5" t="n"/>
      <c r="J62" s="43" t="n"/>
      <c r="K62" s="43" t="n"/>
    </row>
    <row r="63" ht="17" customHeight="1">
      <c r="A63" s="43" t="n"/>
      <c r="B63" s="26" t="n"/>
      <c r="C63" s="5" t="n"/>
      <c r="D63" s="25" t="inlineStr">
        <is>
          <t>Tổng 5 Lô</t>
        </is>
      </c>
      <c r="E63" s="25" t="inlineStr">
        <is>
          <t>Tổng 5 Lô</t>
        </is>
      </c>
      <c r="F63" s="25" t="inlineStr">
        <is>
          <t>Tổng 5 Lô</t>
        </is>
      </c>
      <c r="G63" s="25" t="inlineStr">
        <is>
          <t>Tổng 5 Lô</t>
        </is>
      </c>
      <c r="H63" s="25" t="inlineStr">
        <is>
          <t>Tổng 5 Lô</t>
        </is>
      </c>
      <c r="I63" s="5" t="n"/>
      <c r="J63" s="25" t="inlineStr">
        <is>
          <t>WIP toàn chuyền</t>
        </is>
      </c>
      <c r="K63" s="30" t="inlineStr">
        <is>
          <t>Tổng thiếu PO</t>
        </is>
      </c>
    </row>
  </sheetData>
  <mergeCells count="26">
    <mergeCell ref="D59:H59"/>
    <mergeCell ref="J50:J52"/>
    <mergeCell ref="A25:A33"/>
    <mergeCell ref="D19:H19"/>
    <mergeCell ref="A55:A63"/>
    <mergeCell ref="K10:K12"/>
    <mergeCell ref="A5:A13"/>
    <mergeCell ref="D49:H49"/>
    <mergeCell ref="J60:J62"/>
    <mergeCell ref="A35:A43"/>
    <mergeCell ref="A3:K3"/>
    <mergeCell ref="K30:K32"/>
    <mergeCell ref="A2:K2"/>
    <mergeCell ref="K20:K22"/>
    <mergeCell ref="J10:J12"/>
    <mergeCell ref="A15:A23"/>
    <mergeCell ref="K60:K62"/>
    <mergeCell ref="D9:H9"/>
    <mergeCell ref="K50:K52"/>
    <mergeCell ref="D39:H39"/>
    <mergeCell ref="J40:J42"/>
    <mergeCell ref="K40:K42"/>
    <mergeCell ref="J30:J32"/>
    <mergeCell ref="D29:H29"/>
    <mergeCell ref="J20:J22"/>
    <mergeCell ref="A45:A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6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3" customWidth="1" min="4" max="4"/>
    <col width="13" customWidth="1" min="5" max="5"/>
    <col width="13" customWidth="1" min="6" max="6"/>
    <col width="14" customWidth="1" min="7" max="7"/>
    <col width="15" customWidth="1" min="8" max="8"/>
    <col width="3" customWidth="1" min="9" max="9"/>
    <col width="16" customWidth="1" min="10" max="10"/>
    <col width="13" customWidth="1" min="11" max="11"/>
  </cols>
  <sheetData>
    <row r="2">
      <c r="A2" s="1" t="inlineStr">
        <is>
          <t>BÁO CÁO TIẾN ĐỘ SẢN XUẤT CHUYỀN MAY</t>
        </is>
      </c>
    </row>
    <row r="3">
      <c r="A3" s="2">
        <f>"Mã đơn: Đơn 050  |  Ngày: 23/09/2026  |  Tổng đơn: 1.623 đôi  |  May thực nhận: " &amp; TEXT(B57,"#,##0") &amp; " đôi  |  Chuẩn bị còn nợ: " &amp; TEXT(1623-B57,"#,##0") &amp; " đôi"</f>
        <v/>
      </c>
    </row>
    <row r="5" ht="20" customHeight="1">
      <c r="A5" s="3" t="inlineStr">
        <is>
          <t>LÔ 1
Kế hoạch:
1,230 đôi</t>
        </is>
      </c>
      <c r="B5" s="4" t="inlineStr">
        <is>
          <t>TỔNG NHẬP</t>
        </is>
      </c>
      <c r="C5" s="5" t="n"/>
      <c r="D5" s="5" t="n"/>
      <c r="E5" s="5" t="n"/>
      <c r="F5" s="5" t="n"/>
      <c r="G5" s="5" t="n"/>
      <c r="H5" s="5" t="n"/>
      <c r="I5" s="5" t="n"/>
      <c r="J5" s="4" t="inlineStr">
        <is>
          <t>TỔNG XUẤT</t>
        </is>
      </c>
      <c r="K5" s="6" t="n"/>
    </row>
    <row r="6" ht="18" customHeight="1">
      <c r="A6" s="40" t="n"/>
      <c r="B6" s="7" t="inlineStr">
        <is>
          <t>VÀO CHUYỀN</t>
        </is>
      </c>
      <c r="C6" s="5" t="n"/>
      <c r="D6" s="5" t="n"/>
      <c r="E6" s="5" t="n"/>
      <c r="F6" s="5" t="n"/>
      <c r="G6" s="5" t="n"/>
      <c r="H6" s="5" t="n"/>
      <c r="I6" s="5" t="n"/>
      <c r="J6" s="8" t="inlineStr">
        <is>
          <t>ĐÃ GIAO KHÁCH
HÀNG</t>
        </is>
      </c>
      <c r="K6" s="6" t="n"/>
    </row>
    <row r="7" ht="22" customHeight="1">
      <c r="A7" s="40" t="n"/>
      <c r="B7" s="9" t="n">
        <v>1230</v>
      </c>
      <c r="C7" s="5" t="n"/>
      <c r="D7" s="5" t="n"/>
      <c r="E7" s="5" t="n"/>
      <c r="F7" s="5" t="n"/>
      <c r="G7" s="5" t="n"/>
      <c r="H7" s="5" t="n"/>
      <c r="I7" s="5" t="n"/>
      <c r="J7" s="10" t="n">
        <v>998</v>
      </c>
      <c r="K7" s="6" t="n"/>
    </row>
    <row r="8" ht="16" customHeight="1">
      <c r="A8" s="40" t="n"/>
      <c r="B8" s="11" t="inlineStr">
        <is>
          <t>Ký nhận BTP</t>
        </is>
      </c>
      <c r="C8" s="5" t="n"/>
      <c r="D8" s="5" t="n"/>
      <c r="E8" s="5" t="n"/>
      <c r="F8" s="5" t="n"/>
      <c r="G8" s="5" t="n"/>
      <c r="H8" s="5" t="n"/>
      <c r="I8" s="5" t="n"/>
      <c r="J8" s="11" t="inlineStr">
        <is>
          <t>Người thực hiện: Tài</t>
        </is>
      </c>
      <c r="K8" s="6" t="n"/>
    </row>
    <row r="9" ht="20" customHeight="1">
      <c r="A9" s="40" t="n"/>
      <c r="B9" s="6" t="n"/>
      <c r="C9" s="5" t="n"/>
      <c r="D9" s="4" t="inlineStr">
        <is>
          <t>KIỂM TRA TỒN</t>
        </is>
      </c>
      <c r="E9" s="41" t="n"/>
      <c r="F9" s="41" t="n"/>
      <c r="G9" s="41" t="n"/>
      <c r="H9" s="42" t="n"/>
      <c r="I9" s="5" t="n"/>
      <c r="J9" s="12" t="inlineStr">
        <is>
          <t>TỔNG TỒN</t>
        </is>
      </c>
      <c r="K9" s="13" t="inlineStr">
        <is>
          <t>THIẾU</t>
        </is>
      </c>
    </row>
    <row r="10" ht="17" customHeight="1">
      <c r="A10" s="40" t="n"/>
      <c r="B10" s="6" t="n"/>
      <c r="C10" s="5" t="n"/>
      <c r="D10" s="14" t="inlineStr">
        <is>
          <t>2. ĐANG MAY</t>
        </is>
      </c>
      <c r="E10" s="14" t="inlineStr">
        <is>
          <t>3. TỒN KIỂM QC</t>
        </is>
      </c>
      <c r="F10" s="14" t="inlineStr">
        <is>
          <t>4. TỒN PHỐI ĐÔI</t>
        </is>
      </c>
      <c r="G10" s="15" t="inlineStr">
        <is>
          <t>5. TỒN ĐÓNG
GÓI</t>
        </is>
      </c>
      <c r="H10" s="15" t="inlineStr">
        <is>
          <t>6. TỒN KHO THÀNH
PHẨM</t>
        </is>
      </c>
      <c r="I10" s="5" t="n"/>
      <c r="J10" s="16">
        <f>D12+E12+F12+G12+H12</f>
        <v/>
      </c>
      <c r="K10" s="17">
        <f>B7-(J7+J10)</f>
        <v/>
      </c>
    </row>
    <row r="11" ht="16" customHeight="1">
      <c r="A11" s="40" t="n"/>
      <c r="B11" s="6" t="n"/>
      <c r="C11" s="5" t="n"/>
      <c r="D11" s="18" t="inlineStr">
        <is>
          <t>Tồn trên line</t>
        </is>
      </c>
      <c r="E11" s="18" t="inlineStr">
        <is>
          <t>Trạm kiểm QC</t>
        </is>
      </c>
      <c r="F11" s="18" t="inlineStr">
        <is>
          <t>Bàn phối đôi</t>
        </is>
      </c>
      <c r="G11" s="19" t="inlineStr">
        <is>
          <t>Bàn đóng gói</t>
        </is>
      </c>
      <c r="H11" s="19" t="inlineStr">
        <is>
          <t>Kho TP</t>
        </is>
      </c>
      <c r="I11" s="5" t="n"/>
      <c r="J11" s="40" t="n"/>
      <c r="K11" s="40" t="n"/>
    </row>
    <row r="12" ht="22" customHeight="1">
      <c r="A12" s="40" t="n"/>
      <c r="B12" s="6" t="n"/>
      <c r="C12" s="5" t="n"/>
      <c r="D12" s="20" t="n">
        <v>0</v>
      </c>
      <c r="E12" s="20" t="n">
        <v>0</v>
      </c>
      <c r="F12" s="20" t="n">
        <v>0</v>
      </c>
      <c r="G12" s="10" t="n">
        <v>111</v>
      </c>
      <c r="H12" s="10" t="n">
        <v>120</v>
      </c>
      <c r="I12" s="5" t="n"/>
      <c r="J12" s="43" t="n"/>
      <c r="K12" s="43" t="n"/>
    </row>
    <row r="13" ht="17" customHeight="1">
      <c r="A13" s="43" t="n"/>
      <c r="B13" s="6" t="n"/>
      <c r="C13" s="5" t="n"/>
      <c r="D13" s="11" t="inlineStr">
        <is>
          <t>Người thực hiện:</t>
        </is>
      </c>
      <c r="E13" s="11" t="inlineStr">
        <is>
          <t>Người thực hiện:</t>
        </is>
      </c>
      <c r="F13" s="11" t="inlineStr">
        <is>
          <t>Người thực hiện: Hà</t>
        </is>
      </c>
      <c r="G13" s="11" t="inlineStr">
        <is>
          <t>Người thực hiện: Hồng</t>
        </is>
      </c>
      <c r="H13" s="11" t="inlineStr">
        <is>
          <t>Người thực hiện:</t>
        </is>
      </c>
      <c r="I13" s="5" t="n"/>
      <c r="J13" s="11" t="inlineStr">
        <is>
          <t>Người thực hiện:</t>
        </is>
      </c>
      <c r="K13" s="6" t="inlineStr"/>
    </row>
    <row r="14" ht="10" customHeight="1"/>
    <row r="15" ht="20" customHeight="1">
      <c r="A15" s="3" t="inlineStr">
        <is>
          <t>LÔ 2
Kế hoạch:
267 đôi</t>
        </is>
      </c>
      <c r="B15" s="4" t="inlineStr">
        <is>
          <t>TỔNG NHẬP</t>
        </is>
      </c>
      <c r="C15" s="5" t="n"/>
      <c r="D15" s="5" t="n"/>
      <c r="E15" s="5" t="n"/>
      <c r="F15" s="5" t="n"/>
      <c r="G15" s="5" t="n"/>
      <c r="H15" s="5" t="n"/>
      <c r="I15" s="5" t="n"/>
      <c r="J15" s="4" t="inlineStr">
        <is>
          <t>TỔNG XUẤT</t>
        </is>
      </c>
      <c r="K15" s="6" t="n"/>
    </row>
    <row r="16" ht="18" customHeight="1">
      <c r="A16" s="40" t="n"/>
      <c r="B16" s="7" t="inlineStr">
        <is>
          <t>VÀO CHUYỀN</t>
        </is>
      </c>
      <c r="C16" s="5" t="n"/>
      <c r="D16" s="5" t="n"/>
      <c r="E16" s="5" t="n"/>
      <c r="F16" s="5" t="n"/>
      <c r="G16" s="5" t="n"/>
      <c r="H16" s="5" t="n"/>
      <c r="I16" s="5" t="n"/>
      <c r="J16" s="8" t="inlineStr">
        <is>
          <t>ĐÃ GIAO KHÁCH
HÀNG</t>
        </is>
      </c>
      <c r="K16" s="6" t="n"/>
    </row>
    <row r="17" ht="22" customHeight="1">
      <c r="A17" s="40" t="n"/>
      <c r="B17" s="9" t="n">
        <v>267</v>
      </c>
      <c r="C17" s="5" t="n"/>
      <c r="D17" s="5" t="n"/>
      <c r="E17" s="5" t="n"/>
      <c r="F17" s="5" t="n"/>
      <c r="G17" s="5" t="n"/>
      <c r="H17" s="5" t="n"/>
      <c r="I17" s="5" t="n"/>
      <c r="J17" s="10" t="n">
        <v>0</v>
      </c>
      <c r="K17" s="6" t="n"/>
    </row>
    <row r="18" ht="16" customHeight="1">
      <c r="A18" s="40" t="n"/>
      <c r="B18" s="11" t="inlineStr">
        <is>
          <t>Ký nhận BTP</t>
        </is>
      </c>
      <c r="C18" s="5" t="n"/>
      <c r="D18" s="5" t="n"/>
      <c r="E18" s="5" t="n"/>
      <c r="F18" s="5" t="n"/>
      <c r="G18" s="5" t="n"/>
      <c r="H18" s="5" t="n"/>
      <c r="I18" s="5" t="n"/>
      <c r="J18" s="11" t="inlineStr">
        <is>
          <t>Người thực hiện:</t>
        </is>
      </c>
      <c r="K18" s="6" t="n"/>
    </row>
    <row r="19" ht="20" customHeight="1">
      <c r="A19" s="40" t="n"/>
      <c r="B19" s="6" t="n"/>
      <c r="C19" s="5" t="n"/>
      <c r="D19" s="4" t="inlineStr">
        <is>
          <t>KIỂM TRA TỒN</t>
        </is>
      </c>
      <c r="E19" s="41" t="n"/>
      <c r="F19" s="41" t="n"/>
      <c r="G19" s="41" t="n"/>
      <c r="H19" s="42" t="n"/>
      <c r="I19" s="5" t="n"/>
      <c r="J19" s="12" t="inlineStr">
        <is>
          <t>TỔNG TỒN</t>
        </is>
      </c>
      <c r="K19" s="13" t="inlineStr">
        <is>
          <t>THIẾU</t>
        </is>
      </c>
    </row>
    <row r="20" ht="17" customHeight="1">
      <c r="A20" s="40" t="n"/>
      <c r="B20" s="6" t="n"/>
      <c r="C20" s="5" t="n"/>
      <c r="D20" s="14" t="inlineStr">
        <is>
          <t>2. ĐANG MAY</t>
        </is>
      </c>
      <c r="E20" s="14" t="inlineStr">
        <is>
          <t>3. TỒN KIỂM QC</t>
        </is>
      </c>
      <c r="F20" s="14" t="inlineStr">
        <is>
          <t>4. TỒN PHỐI ĐÔI</t>
        </is>
      </c>
      <c r="G20" s="15" t="inlineStr">
        <is>
          <t>5. TỒN ĐÓNG
GÓI</t>
        </is>
      </c>
      <c r="H20" s="15" t="inlineStr">
        <is>
          <t>6. TỒN KHO THÀNH
PHẨM</t>
        </is>
      </c>
      <c r="I20" s="5" t="n"/>
      <c r="J20" s="16">
        <f>D22+E22+F22+G22+H22</f>
        <v/>
      </c>
      <c r="K20" s="17">
        <f>B17-(J17+J20)</f>
        <v/>
      </c>
    </row>
    <row r="21" ht="16" customHeight="1">
      <c r="A21" s="40" t="n"/>
      <c r="B21" s="6" t="n"/>
      <c r="C21" s="5" t="n"/>
      <c r="D21" s="18" t="inlineStr">
        <is>
          <t>Tồn trên line</t>
        </is>
      </c>
      <c r="E21" s="18" t="inlineStr">
        <is>
          <t>Trạm kiểm QC</t>
        </is>
      </c>
      <c r="F21" s="18" t="inlineStr">
        <is>
          <t>Bàn phối đôi</t>
        </is>
      </c>
      <c r="G21" s="19" t="inlineStr">
        <is>
          <t>Bàn đóng gói</t>
        </is>
      </c>
      <c r="H21" s="19" t="inlineStr">
        <is>
          <t>Kho TP</t>
        </is>
      </c>
      <c r="I21" s="5" t="n"/>
      <c r="J21" s="40" t="n"/>
      <c r="K21" s="40" t="n"/>
    </row>
    <row r="22" ht="22" customHeight="1">
      <c r="A22" s="40" t="n"/>
      <c r="B22" s="6" t="n"/>
      <c r="C22" s="5" t="n"/>
      <c r="D22" s="20" t="n">
        <v>0</v>
      </c>
      <c r="E22" s="20" t="n">
        <v>0</v>
      </c>
      <c r="F22" s="20" t="n">
        <v>100</v>
      </c>
      <c r="G22" s="10" t="n">
        <v>100</v>
      </c>
      <c r="H22" s="10" t="n">
        <v>50</v>
      </c>
      <c r="I22" s="5" t="n"/>
      <c r="J22" s="43" t="n"/>
      <c r="K22" s="43" t="n"/>
    </row>
    <row r="23" ht="17" customHeight="1">
      <c r="A23" s="43" t="n"/>
      <c r="B23" s="6" t="n"/>
      <c r="C23" s="5" t="n"/>
      <c r="D23" s="11" t="inlineStr">
        <is>
          <t>Người thực hiện:</t>
        </is>
      </c>
      <c r="E23" s="11" t="inlineStr">
        <is>
          <t>Người thực hiện:</t>
        </is>
      </c>
      <c r="F23" s="11" t="inlineStr">
        <is>
          <t>Người thực hiện: Thảo</t>
        </is>
      </c>
      <c r="G23" s="11" t="inlineStr">
        <is>
          <t>Người thực hiện: Lan</t>
        </is>
      </c>
      <c r="H23" s="11" t="inlineStr">
        <is>
          <t>Người thực hiện:</t>
        </is>
      </c>
      <c r="I23" s="5" t="n"/>
      <c r="J23" s="11" t="inlineStr">
        <is>
          <t>Người thực hiện:</t>
        </is>
      </c>
      <c r="K23" s="6" t="inlineStr"/>
    </row>
    <row r="24" ht="10" customHeight="1"/>
    <row r="25" ht="20" customHeight="1">
      <c r="A25" s="31" t="inlineStr">
        <is>
          <t>LÔ 3
Kế hoạch:
126 đôi</t>
        </is>
      </c>
      <c r="B25" s="4" t="inlineStr">
        <is>
          <t>TỔNG NHẬP</t>
        </is>
      </c>
      <c r="C25" s="5" t="n"/>
      <c r="D25" s="5" t="n"/>
      <c r="E25" s="5" t="n"/>
      <c r="F25" s="5" t="n"/>
      <c r="G25" s="5" t="n"/>
      <c r="H25" s="5" t="n"/>
      <c r="I25" s="5" t="n"/>
      <c r="J25" s="4" t="inlineStr">
        <is>
          <t>TỔNG XUẤT</t>
        </is>
      </c>
      <c r="K25" s="6" t="n"/>
    </row>
    <row r="26" ht="18" customHeight="1">
      <c r="A26" s="40" t="n"/>
      <c r="B26" s="7" t="inlineStr">
        <is>
          <t>VÀO CHUYỀN</t>
        </is>
      </c>
      <c r="C26" s="5" t="n"/>
      <c r="D26" s="5" t="n"/>
      <c r="E26" s="5" t="n"/>
      <c r="F26" s="5" t="n"/>
      <c r="G26" s="5" t="n"/>
      <c r="H26" s="5" t="n"/>
      <c r="I26" s="5" t="n"/>
      <c r="J26" s="8" t="inlineStr">
        <is>
          <t>ĐÃ GIAO KHÁCH
HÀNG</t>
        </is>
      </c>
      <c r="K26" s="6" t="n"/>
    </row>
    <row r="27" ht="22" customHeight="1">
      <c r="A27" s="40" t="n"/>
      <c r="B27" s="32" t="n">
        <v>126</v>
      </c>
      <c r="C27" s="5" t="n"/>
      <c r="D27" s="5" t="n"/>
      <c r="E27" s="5" t="n"/>
      <c r="F27" s="5" t="n"/>
      <c r="G27" s="5" t="n"/>
      <c r="H27" s="5" t="n"/>
      <c r="I27" s="5" t="n"/>
      <c r="J27" s="10" t="n">
        <v>0</v>
      </c>
      <c r="K27" s="6" t="n"/>
    </row>
    <row r="28" ht="16" customHeight="1">
      <c r="A28" s="40" t="n"/>
      <c r="B28" s="33" t="inlineStr">
        <is>
          <t>Nhận 126 nợ</t>
        </is>
      </c>
      <c r="C28" s="5" t="n"/>
      <c r="D28" s="5" t="n"/>
      <c r="E28" s="5" t="n"/>
      <c r="F28" s="5" t="n"/>
      <c r="G28" s="5" t="n"/>
      <c r="H28" s="5" t="n"/>
      <c r="I28" s="5" t="n"/>
      <c r="J28" s="11" t="inlineStr">
        <is>
          <t>Người thực hiện:</t>
        </is>
      </c>
      <c r="K28" s="6" t="n"/>
    </row>
    <row r="29" ht="20" customHeight="1">
      <c r="A29" s="40" t="n"/>
      <c r="B29" s="6" t="n"/>
      <c r="C29" s="5" t="n"/>
      <c r="D29" s="4" t="inlineStr">
        <is>
          <t>KIỂM TRA TỒN</t>
        </is>
      </c>
      <c r="E29" s="41" t="n"/>
      <c r="F29" s="41" t="n"/>
      <c r="G29" s="41" t="n"/>
      <c r="H29" s="42" t="n"/>
      <c r="I29" s="5" t="n"/>
      <c r="J29" s="12" t="inlineStr">
        <is>
          <t>TỔNG TỒN</t>
        </is>
      </c>
      <c r="K29" s="13" t="inlineStr">
        <is>
          <t>THIẾU</t>
        </is>
      </c>
    </row>
    <row r="30" ht="17" customHeight="1">
      <c r="A30" s="40" t="n"/>
      <c r="B30" s="6" t="n"/>
      <c r="C30" s="5" t="n"/>
      <c r="D30" s="14" t="inlineStr">
        <is>
          <t>2. ĐANG MAY</t>
        </is>
      </c>
      <c r="E30" s="14" t="inlineStr">
        <is>
          <t>3. TỒN KIỂM QC</t>
        </is>
      </c>
      <c r="F30" s="14" t="inlineStr">
        <is>
          <t>4. TỒN PHỐI ĐÔI</t>
        </is>
      </c>
      <c r="G30" s="15" t="inlineStr">
        <is>
          <t>5. TỒN ĐÓNG
GÓI</t>
        </is>
      </c>
      <c r="H30" s="15" t="inlineStr">
        <is>
          <t>6. TỒN KHO THÀNH
PHẨM</t>
        </is>
      </c>
      <c r="I30" s="5" t="n"/>
      <c r="J30" s="16">
        <f>D32+E32+F32+G32+H32</f>
        <v/>
      </c>
      <c r="K30" s="17">
        <f>B27-(J27+J30)</f>
        <v/>
      </c>
    </row>
    <row r="31" ht="16" customHeight="1">
      <c r="A31" s="40" t="n"/>
      <c r="B31" s="6" t="n"/>
      <c r="C31" s="5" t="n"/>
      <c r="D31" s="18" t="inlineStr">
        <is>
          <t>Tồn trên line</t>
        </is>
      </c>
      <c r="E31" s="18" t="inlineStr">
        <is>
          <t>Trạm kiểm QC</t>
        </is>
      </c>
      <c r="F31" s="18" t="inlineStr">
        <is>
          <t>Bàn phối đôi</t>
        </is>
      </c>
      <c r="G31" s="19" t="inlineStr">
        <is>
          <t>Bàn đóng gói</t>
        </is>
      </c>
      <c r="H31" s="19" t="inlineStr">
        <is>
          <t>Kho TP</t>
        </is>
      </c>
      <c r="I31" s="5" t="n"/>
      <c r="J31" s="40" t="n"/>
      <c r="K31" s="40" t="n"/>
    </row>
    <row r="32" ht="22" customHeight="1">
      <c r="A32" s="40" t="n"/>
      <c r="B32" s="6" t="n"/>
      <c r="C32" s="5" t="n"/>
      <c r="D32" s="20" t="n">
        <v>80</v>
      </c>
      <c r="E32" s="20" t="n">
        <v>46</v>
      </c>
      <c r="F32" s="20" t="n">
        <v>0</v>
      </c>
      <c r="G32" s="10" t="n">
        <v>0</v>
      </c>
      <c r="H32" s="10" t="n">
        <v>0</v>
      </c>
      <c r="I32" s="5" t="n"/>
      <c r="J32" s="43" t="n"/>
      <c r="K32" s="43" t="n"/>
    </row>
    <row r="33" ht="17" customHeight="1">
      <c r="A33" s="43" t="n"/>
      <c r="B33" s="6" t="n"/>
      <c r="C33" s="5" t="n"/>
      <c r="D33" s="11" t="inlineStr">
        <is>
          <t>Người thực hiện: Mai</t>
        </is>
      </c>
      <c r="E33" s="11" t="inlineStr">
        <is>
          <t>Người thực hiện: Hùng</t>
        </is>
      </c>
      <c r="F33" s="11" t="inlineStr">
        <is>
          <t>Người thực hiện: Hà</t>
        </is>
      </c>
      <c r="G33" s="11" t="inlineStr">
        <is>
          <t>Người thực hiện: Hồng</t>
        </is>
      </c>
      <c r="H33" s="11" t="inlineStr">
        <is>
          <t>Người thực hiện:</t>
        </is>
      </c>
      <c r="I33" s="5" t="n"/>
      <c r="J33" s="11" t="inlineStr">
        <is>
          <t>Người thực hiện:</t>
        </is>
      </c>
      <c r="K33" s="6" t="inlineStr"/>
    </row>
    <row r="34" ht="10" customHeight="1"/>
    <row r="35" ht="20" customHeight="1">
      <c r="A35" s="21" t="inlineStr">
        <is>
          <t>LÔ 4
(Chưa chạy)</t>
        </is>
      </c>
      <c r="B35" s="4" t="inlineStr">
        <is>
          <t>TỔNG NHẬP</t>
        </is>
      </c>
      <c r="C35" s="5" t="n"/>
      <c r="D35" s="5" t="n"/>
      <c r="E35" s="5" t="n"/>
      <c r="F35" s="5" t="n"/>
      <c r="G35" s="5" t="n"/>
      <c r="H35" s="5" t="n"/>
      <c r="I35" s="5" t="n"/>
      <c r="J35" s="4" t="inlineStr">
        <is>
          <t>TỔNG XUẤT</t>
        </is>
      </c>
      <c r="K35" s="6" t="n"/>
    </row>
    <row r="36" ht="18" customHeight="1">
      <c r="A36" s="40" t="n"/>
      <c r="B36" s="7" t="inlineStr">
        <is>
          <t>VÀO CHUYỀN</t>
        </is>
      </c>
      <c r="C36" s="5" t="n"/>
      <c r="D36" s="5" t="n"/>
      <c r="E36" s="5" t="n"/>
      <c r="F36" s="5" t="n"/>
      <c r="G36" s="5" t="n"/>
      <c r="H36" s="5" t="n"/>
      <c r="I36" s="5" t="n"/>
      <c r="J36" s="8" t="inlineStr">
        <is>
          <t>ĐÃ GIAO KHÁCH
HÀNG</t>
        </is>
      </c>
      <c r="K36" s="6" t="n"/>
    </row>
    <row r="37" ht="22" customHeight="1">
      <c r="A37" s="40" t="n"/>
      <c r="B37" s="9" t="n">
        <v>0</v>
      </c>
      <c r="C37" s="5" t="n"/>
      <c r="D37" s="5" t="n"/>
      <c r="E37" s="5" t="n"/>
      <c r="F37" s="5" t="n"/>
      <c r="G37" s="5" t="n"/>
      <c r="H37" s="5" t="n"/>
      <c r="I37" s="5" t="n"/>
      <c r="J37" s="10" t="n">
        <v>0</v>
      </c>
      <c r="K37" s="6" t="n"/>
    </row>
    <row r="38" ht="16" customHeight="1">
      <c r="A38" s="40" t="n"/>
      <c r="B38" s="11" t="inlineStr">
        <is>
          <t>Ký nhận BTP</t>
        </is>
      </c>
      <c r="C38" s="5" t="n"/>
      <c r="D38" s="5" t="n"/>
      <c r="E38" s="5" t="n"/>
      <c r="F38" s="5" t="n"/>
      <c r="G38" s="5" t="n"/>
      <c r="H38" s="5" t="n"/>
      <c r="I38" s="5" t="n"/>
      <c r="J38" s="11" t="inlineStr">
        <is>
          <t>Người thực hiện:</t>
        </is>
      </c>
      <c r="K38" s="6" t="n"/>
    </row>
    <row r="39" ht="20" customHeight="1">
      <c r="A39" s="40" t="n"/>
      <c r="B39" s="6" t="n"/>
      <c r="C39" s="5" t="n"/>
      <c r="D39" s="4" t="inlineStr">
        <is>
          <t>KIỂM TRA TỒN</t>
        </is>
      </c>
      <c r="E39" s="41" t="n"/>
      <c r="F39" s="41" t="n"/>
      <c r="G39" s="41" t="n"/>
      <c r="H39" s="42" t="n"/>
      <c r="I39" s="5" t="n"/>
      <c r="J39" s="12" t="inlineStr">
        <is>
          <t>TỔNG TỒN</t>
        </is>
      </c>
      <c r="K39" s="13" t="inlineStr">
        <is>
          <t>THIẾU</t>
        </is>
      </c>
    </row>
    <row r="40" ht="17" customHeight="1">
      <c r="A40" s="40" t="n"/>
      <c r="B40" s="6" t="n"/>
      <c r="C40" s="5" t="n"/>
      <c r="D40" s="14" t="inlineStr">
        <is>
          <t>2. ĐANG MAY</t>
        </is>
      </c>
      <c r="E40" s="14" t="inlineStr">
        <is>
          <t>3. TỒN KIỂM QC</t>
        </is>
      </c>
      <c r="F40" s="14" t="inlineStr">
        <is>
          <t>4. TỒN PHỐI ĐÔI</t>
        </is>
      </c>
      <c r="G40" s="15" t="inlineStr">
        <is>
          <t>5. TỒN ĐÓNG
GÓI</t>
        </is>
      </c>
      <c r="H40" s="15" t="inlineStr">
        <is>
          <t>6. TỒN KHO THÀNH
PHẨM</t>
        </is>
      </c>
      <c r="I40" s="5" t="n"/>
      <c r="J40" s="16">
        <f>D42+E42+F42+G42+H42</f>
        <v/>
      </c>
      <c r="K40" s="17">
        <f>B37-(J37+J40)</f>
        <v/>
      </c>
    </row>
    <row r="41" ht="16" customHeight="1">
      <c r="A41" s="40" t="n"/>
      <c r="B41" s="6" t="n"/>
      <c r="C41" s="5" t="n"/>
      <c r="D41" s="18" t="inlineStr">
        <is>
          <t>Tồn trên line</t>
        </is>
      </c>
      <c r="E41" s="18" t="inlineStr">
        <is>
          <t>Trạm kiểm QC</t>
        </is>
      </c>
      <c r="F41" s="18" t="inlineStr">
        <is>
          <t>Bàn phối đôi</t>
        </is>
      </c>
      <c r="G41" s="19" t="inlineStr">
        <is>
          <t>Bàn đóng gói</t>
        </is>
      </c>
      <c r="H41" s="19" t="inlineStr">
        <is>
          <t>Kho TP</t>
        </is>
      </c>
      <c r="I41" s="5" t="n"/>
      <c r="J41" s="40" t="n"/>
      <c r="K41" s="40" t="n"/>
    </row>
    <row r="42" ht="22" customHeight="1">
      <c r="A42" s="40" t="n"/>
      <c r="B42" s="6" t="n"/>
      <c r="C42" s="5" t="n"/>
      <c r="D42" s="20" t="n">
        <v>0</v>
      </c>
      <c r="E42" s="20" t="n">
        <v>0</v>
      </c>
      <c r="F42" s="20" t="n">
        <v>0</v>
      </c>
      <c r="G42" s="10" t="n">
        <v>0</v>
      </c>
      <c r="H42" s="10" t="n">
        <v>0</v>
      </c>
      <c r="I42" s="5" t="n"/>
      <c r="J42" s="43" t="n"/>
      <c r="K42" s="43" t="n"/>
    </row>
    <row r="43" ht="17" customHeight="1">
      <c r="A43" s="43" t="n"/>
      <c r="B43" s="6" t="n"/>
      <c r="C43" s="5" t="n"/>
      <c r="D43" s="11" t="inlineStr">
        <is>
          <t>Người thực hiện:</t>
        </is>
      </c>
      <c r="E43" s="11" t="inlineStr">
        <is>
          <t>Người thực hiện:</t>
        </is>
      </c>
      <c r="F43" s="11" t="inlineStr">
        <is>
          <t>Người thực hiện: Hà</t>
        </is>
      </c>
      <c r="G43" s="11" t="inlineStr">
        <is>
          <t>Người thực hiện: Hồng</t>
        </is>
      </c>
      <c r="H43" s="11" t="inlineStr">
        <is>
          <t>Người thực hiện:</t>
        </is>
      </c>
      <c r="I43" s="5" t="n"/>
      <c r="J43" s="11" t="inlineStr">
        <is>
          <t>Người thực hiện:</t>
        </is>
      </c>
      <c r="K43" s="6" t="inlineStr"/>
    </row>
    <row r="44" ht="10" customHeight="1"/>
    <row r="45" ht="20" customHeight="1">
      <c r="A45" s="21" t="inlineStr">
        <is>
          <t>LÔ 5
(Chưa chạy)</t>
        </is>
      </c>
      <c r="B45" s="4" t="inlineStr">
        <is>
          <t>TỔNG NHẬP</t>
        </is>
      </c>
      <c r="C45" s="5" t="n"/>
      <c r="D45" s="5" t="n"/>
      <c r="E45" s="5" t="n"/>
      <c r="F45" s="5" t="n"/>
      <c r="G45" s="5" t="n"/>
      <c r="H45" s="5" t="n"/>
      <c r="I45" s="5" t="n"/>
      <c r="J45" s="4" t="inlineStr">
        <is>
          <t>TỔNG XUẤT</t>
        </is>
      </c>
      <c r="K45" s="6" t="n"/>
    </row>
    <row r="46" ht="18" customHeight="1">
      <c r="A46" s="40" t="n"/>
      <c r="B46" s="7" t="inlineStr">
        <is>
          <t>VÀO CHUYỀN</t>
        </is>
      </c>
      <c r="C46" s="5" t="n"/>
      <c r="D46" s="5" t="n"/>
      <c r="E46" s="5" t="n"/>
      <c r="F46" s="5" t="n"/>
      <c r="G46" s="5" t="n"/>
      <c r="H46" s="5" t="n"/>
      <c r="I46" s="5" t="n"/>
      <c r="J46" s="8" t="inlineStr">
        <is>
          <t>ĐÃ GIAO KHÁCH
HÀNG</t>
        </is>
      </c>
      <c r="K46" s="6" t="n"/>
    </row>
    <row r="47" ht="22" customHeight="1">
      <c r="A47" s="40" t="n"/>
      <c r="B47" s="9" t="n">
        <v>0</v>
      </c>
      <c r="C47" s="5" t="n"/>
      <c r="D47" s="5" t="n"/>
      <c r="E47" s="5" t="n"/>
      <c r="F47" s="5" t="n"/>
      <c r="G47" s="5" t="n"/>
      <c r="H47" s="5" t="n"/>
      <c r="I47" s="5" t="n"/>
      <c r="J47" s="10" t="n">
        <v>0</v>
      </c>
      <c r="K47" s="6" t="n"/>
    </row>
    <row r="48" ht="16" customHeight="1">
      <c r="A48" s="40" t="n"/>
      <c r="B48" s="11" t="inlineStr">
        <is>
          <t>Ký nhận BTP</t>
        </is>
      </c>
      <c r="C48" s="5" t="n"/>
      <c r="D48" s="5" t="n"/>
      <c r="E48" s="5" t="n"/>
      <c r="F48" s="5" t="n"/>
      <c r="G48" s="5" t="n"/>
      <c r="H48" s="5" t="n"/>
      <c r="I48" s="5" t="n"/>
      <c r="J48" s="11" t="inlineStr">
        <is>
          <t>Người thực hiện:</t>
        </is>
      </c>
      <c r="K48" s="6" t="n"/>
    </row>
    <row r="49" ht="20" customHeight="1">
      <c r="A49" s="40" t="n"/>
      <c r="B49" s="6" t="n"/>
      <c r="C49" s="5" t="n"/>
      <c r="D49" s="4" t="inlineStr">
        <is>
          <t>KIỂM TRA TỒN</t>
        </is>
      </c>
      <c r="E49" s="41" t="n"/>
      <c r="F49" s="41" t="n"/>
      <c r="G49" s="41" t="n"/>
      <c r="H49" s="42" t="n"/>
      <c r="I49" s="5" t="n"/>
      <c r="J49" s="12" t="inlineStr">
        <is>
          <t>TỔNG TỒN</t>
        </is>
      </c>
      <c r="K49" s="13" t="inlineStr">
        <is>
          <t>THIẾU</t>
        </is>
      </c>
    </row>
    <row r="50" ht="17" customHeight="1">
      <c r="A50" s="40" t="n"/>
      <c r="B50" s="6" t="n"/>
      <c r="C50" s="5" t="n"/>
      <c r="D50" s="14" t="inlineStr">
        <is>
          <t>2. ĐANG MAY</t>
        </is>
      </c>
      <c r="E50" s="14" t="inlineStr">
        <is>
          <t>3. TỒN KIỂM QC</t>
        </is>
      </c>
      <c r="F50" s="14" t="inlineStr">
        <is>
          <t>4. TỒN PHỐI ĐÔI</t>
        </is>
      </c>
      <c r="G50" s="15" t="inlineStr">
        <is>
          <t>5. TỒN ĐÓNG
GÓI</t>
        </is>
      </c>
      <c r="H50" s="15" t="inlineStr">
        <is>
          <t>6. TỒN KHO THÀNH
PHẨM</t>
        </is>
      </c>
      <c r="I50" s="5" t="n"/>
      <c r="J50" s="16">
        <f>D52+E52+F52+G52+H52</f>
        <v/>
      </c>
      <c r="K50" s="17">
        <f>B47-(J47+J50)</f>
        <v/>
      </c>
    </row>
    <row r="51" ht="16" customHeight="1">
      <c r="A51" s="40" t="n"/>
      <c r="B51" s="6" t="n"/>
      <c r="C51" s="5" t="n"/>
      <c r="D51" s="18" t="inlineStr">
        <is>
          <t>Tồn trên line</t>
        </is>
      </c>
      <c r="E51" s="18" t="inlineStr">
        <is>
          <t>Trạm kiểm QC</t>
        </is>
      </c>
      <c r="F51" s="18" t="inlineStr">
        <is>
          <t>Bàn phối đôi</t>
        </is>
      </c>
      <c r="G51" s="19" t="inlineStr">
        <is>
          <t>Bàn đóng gói</t>
        </is>
      </c>
      <c r="H51" s="19" t="inlineStr">
        <is>
          <t>Kho TP</t>
        </is>
      </c>
      <c r="I51" s="5" t="n"/>
      <c r="J51" s="40" t="n"/>
      <c r="K51" s="40" t="n"/>
    </row>
    <row r="52" ht="22" customHeight="1">
      <c r="A52" s="40" t="n"/>
      <c r="B52" s="6" t="n"/>
      <c r="C52" s="5" t="n"/>
      <c r="D52" s="20" t="n">
        <v>0</v>
      </c>
      <c r="E52" s="20" t="n">
        <v>0</v>
      </c>
      <c r="F52" s="20" t="n">
        <v>0</v>
      </c>
      <c r="G52" s="10" t="n">
        <v>0</v>
      </c>
      <c r="H52" s="10" t="n">
        <v>0</v>
      </c>
      <c r="I52" s="5" t="n"/>
      <c r="J52" s="43" t="n"/>
      <c r="K52" s="43" t="n"/>
    </row>
    <row r="53" ht="17" customHeight="1">
      <c r="A53" s="43" t="n"/>
      <c r="B53" s="6" t="n"/>
      <c r="C53" s="5" t="n"/>
      <c r="D53" s="11" t="inlineStr">
        <is>
          <t>Người thực hiện:</t>
        </is>
      </c>
      <c r="E53" s="11" t="inlineStr">
        <is>
          <t>Người thực hiện:</t>
        </is>
      </c>
      <c r="F53" s="11" t="inlineStr">
        <is>
          <t>Người thực hiện: Hà</t>
        </is>
      </c>
      <c r="G53" s="11" t="inlineStr">
        <is>
          <t>Người thực hiện: Hồng</t>
        </is>
      </c>
      <c r="H53" s="11" t="inlineStr">
        <is>
          <t>Người thực hiện:</t>
        </is>
      </c>
      <c r="I53" s="5" t="n"/>
      <c r="J53" s="11" t="inlineStr">
        <is>
          <t>Người thực hiện:</t>
        </is>
      </c>
      <c r="K53" s="6" t="inlineStr"/>
    </row>
    <row r="54" ht="10" customHeight="1"/>
    <row r="55" ht="20" customHeight="1">
      <c r="A55" s="22" t="inlineStr">
        <is>
          <t>TỔNG
CHUYỀN
(5 LÔ)</t>
        </is>
      </c>
      <c r="B55" s="4" t="inlineStr">
        <is>
          <t>TỔNG NHẬP</t>
        </is>
      </c>
      <c r="C55" s="5" t="n"/>
      <c r="D55" s="5" t="n"/>
      <c r="E55" s="5" t="n"/>
      <c r="F55" s="5" t="n"/>
      <c r="G55" s="5" t="n"/>
      <c r="H55" s="5" t="n"/>
      <c r="I55" s="5" t="n"/>
      <c r="J55" s="4" t="inlineStr">
        <is>
          <t>TỔNG XUẤT</t>
        </is>
      </c>
      <c r="K55" s="5" t="n"/>
    </row>
    <row r="56" ht="18" customHeight="1">
      <c r="A56" s="40" t="n"/>
      <c r="B56" s="7" t="inlineStr">
        <is>
          <t>VÀO CHUYỀN</t>
        </is>
      </c>
      <c r="C56" s="5" t="n"/>
      <c r="D56" s="5" t="n"/>
      <c r="E56" s="5" t="n"/>
      <c r="F56" s="5" t="n"/>
      <c r="G56" s="5" t="n"/>
      <c r="H56" s="5" t="n"/>
      <c r="I56" s="5" t="n"/>
      <c r="J56" s="8" t="inlineStr">
        <is>
          <t>ĐÃ GIAO KHÁCH
HÀNG</t>
        </is>
      </c>
      <c r="K56" s="5" t="n"/>
    </row>
    <row r="57" ht="22" customHeight="1">
      <c r="A57" s="40" t="n"/>
      <c r="B57" s="23">
        <f>B7+B17+B27+B37+B47</f>
        <v/>
      </c>
      <c r="C57" s="5" t="n"/>
      <c r="D57" s="5" t="n"/>
      <c r="E57" s="5" t="n"/>
      <c r="F57" s="5" t="n"/>
      <c r="G57" s="5" t="n"/>
      <c r="H57" s="5" t="n"/>
      <c r="I57" s="5" t="n"/>
      <c r="J57" s="24">
        <f>J7+J17+J27+J37+J47</f>
        <v/>
      </c>
      <c r="K57" s="5" t="n"/>
    </row>
    <row r="58" ht="16" customHeight="1">
      <c r="A58" s="40" t="n"/>
      <c r="B58" s="25" t="inlineStr">
        <is>
          <t>Tổng BTP nhận</t>
        </is>
      </c>
      <c r="C58" s="5" t="n"/>
      <c r="D58" s="5" t="n"/>
      <c r="E58" s="5" t="n"/>
      <c r="F58" s="5" t="n"/>
      <c r="G58" s="5" t="n"/>
      <c r="H58" s="5" t="n"/>
      <c r="I58" s="5" t="n"/>
      <c r="J58" s="25" t="inlineStr">
        <is>
          <t>Tổng đã giao</t>
        </is>
      </c>
      <c r="K58" s="5" t="n"/>
    </row>
    <row r="59" ht="20" customHeight="1">
      <c r="A59" s="40" t="n"/>
      <c r="B59" s="26" t="n"/>
      <c r="C59" s="5" t="n"/>
      <c r="D59" s="4" t="inlineStr">
        <is>
          <t>KIỂM TRA TỒN TOÀN CHUYỀN</t>
        </is>
      </c>
      <c r="E59" s="41" t="n"/>
      <c r="F59" s="41" t="n"/>
      <c r="G59" s="41" t="n"/>
      <c r="H59" s="42" t="n"/>
      <c r="I59" s="5" t="n"/>
      <c r="J59" s="12" t="inlineStr">
        <is>
          <t>TỔNG TỒN</t>
        </is>
      </c>
      <c r="K59" s="13" t="inlineStr">
        <is>
          <t>THIẾU</t>
        </is>
      </c>
    </row>
    <row r="60" ht="17" customHeight="1">
      <c r="A60" s="40" t="n"/>
      <c r="B60" s="26" t="n"/>
      <c r="C60" s="5" t="n"/>
      <c r="D60" s="14" t="inlineStr">
        <is>
          <t>2. TỔNG MAY</t>
        </is>
      </c>
      <c r="E60" s="14" t="inlineStr">
        <is>
          <t>3. TỒN QC</t>
        </is>
      </c>
      <c r="F60" s="14" t="inlineStr">
        <is>
          <t>4. TỒN PHỐI</t>
        </is>
      </c>
      <c r="G60" s="15" t="inlineStr">
        <is>
          <t>5. TỒN Đ.GÓI</t>
        </is>
      </c>
      <c r="H60" s="15" t="inlineStr">
        <is>
          <t>6. TỒN KHO TP</t>
        </is>
      </c>
      <c r="I60" s="5" t="n"/>
      <c r="J60" s="27">
        <f>D62+E62+F62+G62+H62</f>
        <v/>
      </c>
      <c r="K60" s="28">
        <f>B57-(J57+J60)</f>
        <v/>
      </c>
    </row>
    <row r="61" ht="16" customHeight="1">
      <c r="A61" s="40" t="n"/>
      <c r="B61" s="26" t="n"/>
      <c r="C61" s="5" t="n"/>
      <c r="D61" s="18" t="inlineStr">
        <is>
          <t>Line may</t>
        </is>
      </c>
      <c r="E61" s="18" t="inlineStr">
        <is>
          <t>Trạm QC</t>
        </is>
      </c>
      <c r="F61" s="18" t="inlineStr">
        <is>
          <t>Bàn phối</t>
        </is>
      </c>
      <c r="G61" s="19" t="inlineStr">
        <is>
          <t>Đóng gói</t>
        </is>
      </c>
      <c r="H61" s="19" t="inlineStr">
        <is>
          <t>Kho TP</t>
        </is>
      </c>
      <c r="I61" s="5" t="n"/>
      <c r="J61" s="40" t="n"/>
      <c r="K61" s="40" t="n"/>
    </row>
    <row r="62" ht="22" customHeight="1">
      <c r="A62" s="40" t="n"/>
      <c r="B62" s="26" t="n"/>
      <c r="C62" s="5" t="n"/>
      <c r="D62" s="29">
        <f>D12+D22+D32+D42+D52</f>
        <v/>
      </c>
      <c r="E62" s="29">
        <f>E12+E22+E32+E42+E52</f>
        <v/>
      </c>
      <c r="F62" s="29">
        <f>F12+F22+F32+F42+F52</f>
        <v/>
      </c>
      <c r="G62" s="24">
        <f>G12+G22+G32+G42+G52</f>
        <v/>
      </c>
      <c r="H62" s="24">
        <f>H12+H22+H32+H42+H52</f>
        <v/>
      </c>
      <c r="I62" s="5" t="n"/>
      <c r="J62" s="43" t="n"/>
      <c r="K62" s="43" t="n"/>
    </row>
    <row r="63" ht="17" customHeight="1">
      <c r="A63" s="43" t="n"/>
      <c r="B63" s="26" t="n"/>
      <c r="C63" s="5" t="n"/>
      <c r="D63" s="25" t="inlineStr">
        <is>
          <t>Tổng 5 Lô</t>
        </is>
      </c>
      <c r="E63" s="25" t="inlineStr">
        <is>
          <t>Tổng 5 Lô</t>
        </is>
      </c>
      <c r="F63" s="25" t="inlineStr">
        <is>
          <t>Tổng 5 Lô</t>
        </is>
      </c>
      <c r="G63" s="25" t="inlineStr">
        <is>
          <t>Tổng 5 Lô</t>
        </is>
      </c>
      <c r="H63" s="25" t="inlineStr">
        <is>
          <t>Tổng 5 Lô</t>
        </is>
      </c>
      <c r="I63" s="5" t="n"/>
      <c r="J63" s="25" t="inlineStr">
        <is>
          <t>WIP toàn chuyền</t>
        </is>
      </c>
      <c r="K63" s="30" t="inlineStr">
        <is>
          <t>Tổng thiếu PO</t>
        </is>
      </c>
    </row>
  </sheetData>
  <mergeCells count="26">
    <mergeCell ref="D59:H59"/>
    <mergeCell ref="J50:J52"/>
    <mergeCell ref="A25:A33"/>
    <mergeCell ref="D19:H19"/>
    <mergeCell ref="A55:A63"/>
    <mergeCell ref="K10:K12"/>
    <mergeCell ref="A5:A13"/>
    <mergeCell ref="D49:H49"/>
    <mergeCell ref="J60:J62"/>
    <mergeCell ref="A35:A43"/>
    <mergeCell ref="A3:K3"/>
    <mergeCell ref="K30:K32"/>
    <mergeCell ref="A2:K2"/>
    <mergeCell ref="K20:K22"/>
    <mergeCell ref="J10:J12"/>
    <mergeCell ref="A15:A23"/>
    <mergeCell ref="K60:K62"/>
    <mergeCell ref="D9:H9"/>
    <mergeCell ref="K50:K52"/>
    <mergeCell ref="D39:H39"/>
    <mergeCell ref="J40:J42"/>
    <mergeCell ref="K40:K42"/>
    <mergeCell ref="J30:J32"/>
    <mergeCell ref="D29:H29"/>
    <mergeCell ref="J20:J22"/>
    <mergeCell ref="A45:A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34" customWidth="1" min="5" max="5"/>
    <col width="45" customWidth="1" min="6" max="6"/>
  </cols>
  <sheetData>
    <row r="2">
      <c r="A2" s="1" t="inlineStr">
        <is>
          <t>BẢNG ĐỐI CHIẾU SỐ LIỆU CHUYỂN GIAO: NGÀY 22/09 SANG NGÀY 23/09</t>
        </is>
      </c>
    </row>
    <row r="3">
      <c r="A3" s="2" t="inlineStr">
        <is>
          <t>Minh họa chi tiết cách số nợ 126 đôi từ Chuẩn bị được fill vào Lô 3 và cách cập nhật WIP từng lô</t>
        </is>
      </c>
    </row>
    <row r="5">
      <c r="A5" s="34" t="inlineStr">
        <is>
          <t>HẠNG MỤC / CHỈ TIÊU</t>
        </is>
      </c>
      <c r="B5" s="34" t="inlineStr">
        <is>
          <t>NGÀY 22/09
(Chốt hôm trước)</t>
        </is>
      </c>
      <c r="C5" s="34" t="inlineStr">
        <is>
          <t>NGÀY 23/09
(Chốt hôm sau)</t>
        </is>
      </c>
      <c r="D5" s="34" t="inlineStr">
        <is>
          <t>BẢN CHẤT</t>
        </is>
      </c>
      <c r="E5" s="34" t="inlineStr">
        <is>
          <t>BIẾN ĐỘNG / PHÁT SINH TRONG NGÀY 23</t>
        </is>
      </c>
      <c r="F5" s="34" t="inlineStr">
        <is>
          <t>CÁCH CÔNG NHÂN / CHUYỀN TRƯỞNG ĐIỀN SỐ VÀO SHEET</t>
        </is>
      </c>
    </row>
    <row r="6" ht="22" customHeight="1">
      <c r="A6" s="35" t="inlineStr">
        <is>
          <t>1. Kế hoạch toàn đơn (PO)</t>
        </is>
      </c>
      <c r="B6" s="36" t="inlineStr">
        <is>
          <t>1.623 đôi</t>
        </is>
      </c>
      <c r="C6" s="36" t="inlineStr">
        <is>
          <t>1.623 đôi</t>
        </is>
      </c>
      <c r="D6" s="36" t="inlineStr">
        <is>
          <t>Cố định</t>
        </is>
      </c>
      <c r="E6" s="37" t="inlineStr">
        <is>
          <t>Không đổi</t>
        </is>
      </c>
      <c r="F6" s="37" t="inlineStr">
        <is>
          <t>Số cố định của mã hàng Đơn 050</t>
        </is>
      </c>
    </row>
    <row r="7" ht="22" customHeight="1">
      <c r="A7" s="35" t="inlineStr">
        <is>
          <t>2. Tổng Chuyền thực nhận</t>
        </is>
      </c>
      <c r="B7" s="36" t="inlineStr">
        <is>
          <t>1.497 đôi</t>
        </is>
      </c>
      <c r="C7" s="36" t="inlineStr">
        <is>
          <t>1.623 đôi</t>
        </is>
      </c>
      <c r="D7" s="36" t="inlineStr">
        <is>
          <t>Tích lũy</t>
        </is>
      </c>
      <c r="E7" s="37" t="inlineStr">
        <is>
          <t>+126 đôi (Chuẩn bị giao nốt)</t>
        </is>
      </c>
      <c r="F7" s="37" t="inlineStr">
        <is>
          <t>Lấy 1.497 (hôm qua) + 126 (hôm nay) = 1.623 đôi</t>
        </is>
      </c>
    </row>
    <row r="8" ht="22" customHeight="1">
      <c r="A8" s="35" t="inlineStr">
        <is>
          <t>3. Chuẩn bị còn nợ đơn</t>
        </is>
      </c>
      <c r="B8" s="36" t="inlineStr">
        <is>
          <t>126 đôi</t>
        </is>
      </c>
      <c r="C8" s="38" t="inlineStr">
        <is>
          <t>0 đôi</t>
        </is>
      </c>
      <c r="D8" s="36" t="inlineStr">
        <is>
          <t>Cân đối</t>
        </is>
      </c>
      <c r="E8" s="37" t="inlineStr">
        <is>
          <t>-126 đôi (Đã giao hết)</t>
        </is>
      </c>
      <c r="F8" s="37" t="inlineStr">
        <is>
          <t>Tự động nhảy = 1.623 - 1.623 = 0 đôi (Hết nợ)</t>
        </is>
      </c>
    </row>
    <row r="9" ht="22" customHeight="1">
      <c r="A9" s="39" t="inlineStr">
        <is>
          <t>--- CHI TIẾT LÔ 1 ---</t>
        </is>
      </c>
    </row>
    <row r="10" ht="22" customHeight="1">
      <c r="A10" s="35" t="inlineStr">
        <is>
          <t>• Lô 1: Lũy kế Vào chuyền</t>
        </is>
      </c>
      <c r="B10" s="36" t="inlineStr">
        <is>
          <t>1.230 đôi</t>
        </is>
      </c>
      <c r="C10" s="36" t="inlineStr">
        <is>
          <t>1.230 đôi</t>
        </is>
      </c>
      <c r="D10" s="36" t="inlineStr">
        <is>
          <t>Tích lũy</t>
        </is>
      </c>
      <c r="E10" s="37" t="inlineStr">
        <is>
          <t>0 (Đã nhận đủ từ trước)</t>
        </is>
      </c>
      <c r="F10" s="37" t="inlineStr">
        <is>
          <t>Giữ nguyên 1.230 đôi</t>
        </is>
      </c>
    </row>
    <row r="11" ht="22" customHeight="1">
      <c r="A11" s="35" t="inlineStr">
        <is>
          <t>• Lô 1: Lũy kế Giao khách</t>
        </is>
      </c>
      <c r="B11" s="36" t="inlineStr">
        <is>
          <t>648 đôi</t>
        </is>
      </c>
      <c r="C11" s="36" t="inlineStr">
        <is>
          <t>998 đôi</t>
        </is>
      </c>
      <c r="D11" s="36" t="inlineStr">
        <is>
          <t>Tích lũy</t>
        </is>
      </c>
      <c r="E11" s="37" t="inlineStr">
        <is>
          <t>+350 đôi xuất xe trong ngày</t>
        </is>
      </c>
      <c r="F11" s="37" t="inlineStr">
        <is>
          <t>Lấy 648 (hôm qua) + 350 (hôm nay) = 998 đôi</t>
        </is>
      </c>
    </row>
    <row r="12" ht="22" customHeight="1">
      <c r="A12" s="35" t="inlineStr">
        <is>
          <t>• Lô 1: Tồn dở dang (WIP)</t>
        </is>
      </c>
      <c r="B12" s="36" t="inlineStr">
        <is>
          <t>581 đôi</t>
        </is>
      </c>
      <c r="C12" s="36" t="inlineStr">
        <is>
          <t>231 đôi</t>
        </is>
      </c>
      <c r="D12" s="36" t="inlineStr">
        <is>
          <t>Cuối ngày</t>
        </is>
      </c>
      <c r="E12" s="37" t="inlineStr">
        <is>
          <t>-350 đôi (Đã thành phẩm xuất đi)</t>
        </is>
      </c>
      <c r="F12" s="37" t="inlineStr">
        <is>
          <t>Đếm thực tế cuối ngày: Đóng gói 111 + Kho 120 = 231 đôi</t>
        </is>
      </c>
    </row>
    <row r="13" ht="22" customHeight="1">
      <c r="A13" s="35" t="inlineStr">
        <is>
          <t>• Lô 1: Hàng thiếu</t>
        </is>
      </c>
      <c r="B13" s="36" t="inlineStr">
        <is>
          <t>1 đôi</t>
        </is>
      </c>
      <c r="C13" s="36" t="inlineStr">
        <is>
          <t>1 đôi</t>
        </is>
      </c>
      <c r="D13" s="36" t="inlineStr">
        <is>
          <t>Tích lũy</t>
        </is>
      </c>
      <c r="E13" s="37" t="inlineStr">
        <is>
          <t>Vẫn thiếu 1 đôi phôi</t>
        </is>
      </c>
      <c r="F13" s="37" t="inlineStr">
        <is>
          <t>Tự động tính: 1.230 - (998 + 231) = 1 đôi thiếu</t>
        </is>
      </c>
    </row>
    <row r="14" ht="22" customHeight="1">
      <c r="A14" s="39" t="inlineStr">
        <is>
          <t>--- CHI TIẾT LÔ 2 ---</t>
        </is>
      </c>
    </row>
    <row r="15" ht="22" customHeight="1">
      <c r="A15" s="35" t="inlineStr">
        <is>
          <t>• Lô 2: Lũy kế Vào chuyền</t>
        </is>
      </c>
      <c r="B15" s="36" t="inlineStr">
        <is>
          <t>267 đôi</t>
        </is>
      </c>
      <c r="C15" s="36" t="inlineStr">
        <is>
          <t>267 đôi</t>
        </is>
      </c>
      <c r="D15" s="36" t="inlineStr">
        <is>
          <t>Tích lũy</t>
        </is>
      </c>
      <c r="E15" s="37" t="inlineStr">
        <is>
          <t>0 (Đã nhận đủ hôm qua)</t>
        </is>
      </c>
      <c r="F15" s="37" t="inlineStr">
        <is>
          <t>Giữ nguyên 267 đôi</t>
        </is>
      </c>
    </row>
    <row r="16" ht="22" customHeight="1">
      <c r="A16" s="35" t="inlineStr">
        <is>
          <t>• Lô 2: Lũy kế Giao khách</t>
        </is>
      </c>
      <c r="B16" s="36" t="inlineStr">
        <is>
          <t>0 đôi</t>
        </is>
      </c>
      <c r="C16" s="36" t="inlineStr">
        <is>
          <t>0 đôi</t>
        </is>
      </c>
      <c r="D16" s="36" t="inlineStr">
        <is>
          <t>Tích lũy</t>
        </is>
      </c>
      <c r="E16" s="37" t="inlineStr">
        <is>
          <t>Chưa xuất kho giao khách</t>
        </is>
      </c>
      <c r="F16" s="37" t="inlineStr">
        <is>
          <t>Ghi 0</t>
        </is>
      </c>
    </row>
    <row r="17" ht="22" customHeight="1">
      <c r="A17" s="35" t="inlineStr">
        <is>
          <t>• Lô 2: Tồn dở dang (WIP)</t>
        </is>
      </c>
      <c r="B17" s="36" t="inlineStr">
        <is>
          <t>250 đôi</t>
        </is>
      </c>
      <c r="C17" s="36" t="inlineStr">
        <is>
          <t>250 đôi</t>
        </is>
      </c>
      <c r="D17" s="36" t="inlineStr">
        <is>
          <t>Cuối ngày</t>
        </is>
      </c>
      <c r="E17" s="37" t="inlineStr">
        <is>
          <t>Dịch chuyển từ May sang Phối/ĐG</t>
        </is>
      </c>
      <c r="F17" s="37" t="inlineStr">
        <is>
          <t>May xong: Đếm Phối 100 + Đóng gói 100 + Kho TP 50 = 250</t>
        </is>
      </c>
    </row>
    <row r="18" ht="22" customHeight="1">
      <c r="A18" s="35" t="inlineStr">
        <is>
          <t>• Lô 2: Hàng thiếu</t>
        </is>
      </c>
      <c r="B18" s="36" t="inlineStr">
        <is>
          <t>17 đôi</t>
        </is>
      </c>
      <c r="C18" s="36" t="inlineStr">
        <is>
          <t>17 đôi</t>
        </is>
      </c>
      <c r="D18" s="36" t="inlineStr">
        <is>
          <t>Tích lũy</t>
        </is>
      </c>
      <c r="E18" s="37" t="inlineStr">
        <is>
          <t>17 đôi lỗi vải chờ Chuẩn bị dập bù</t>
        </is>
      </c>
      <c r="F18" s="37" t="inlineStr">
        <is>
          <t>Tự động tính: 267 - (0 + 250) = 17 đôi thiếu</t>
        </is>
      </c>
    </row>
    <row r="19" ht="22" customHeight="1">
      <c r="A19" s="39" t="inlineStr">
        <is>
          <t>--- CHI TIẾT LÔ 3 (MỚI MỞ NGÀY 23) ---</t>
        </is>
      </c>
    </row>
    <row r="20" ht="22" customHeight="1">
      <c r="A20" s="35" t="inlineStr">
        <is>
          <t>• Lô 3: Lũy kế Vào chuyền</t>
        </is>
      </c>
      <c r="B20" s="36" t="inlineStr">
        <is>
          <t>0 đôi</t>
        </is>
      </c>
      <c r="C20" s="38" t="inlineStr">
        <is>
          <t>126 đôi</t>
        </is>
      </c>
      <c r="D20" s="36" t="inlineStr">
        <is>
          <t>Tích lũy</t>
        </is>
      </c>
      <c r="E20" s="37" t="inlineStr">
        <is>
          <t>NHẬN 126 ĐÔI TỪ CHUẨN BỊ BÙ NỢ</t>
        </is>
      </c>
      <c r="F20" s="37" t="inlineStr">
        <is>
          <t>Chuyền trưởng ký nhận phiếu BTP 126 đôi, nhập 126 vào Vào Chuyền</t>
        </is>
      </c>
    </row>
    <row r="21" ht="22" customHeight="1">
      <c r="A21" s="35" t="inlineStr">
        <is>
          <t>• Lô 3: Lũy kế Giao khách</t>
        </is>
      </c>
      <c r="B21" s="36" t="inlineStr">
        <is>
          <t>0 đôi</t>
        </is>
      </c>
      <c r="C21" s="36" t="inlineStr">
        <is>
          <t>0 đôi</t>
        </is>
      </c>
      <c r="D21" s="36" t="inlineStr">
        <is>
          <t>Tích lũy</t>
        </is>
      </c>
      <c r="E21" s="37" t="inlineStr">
        <is>
          <t>Mới nhận, chưa giao</t>
        </is>
      </c>
      <c r="F21" s="37" t="inlineStr">
        <is>
          <t>Ghi 0</t>
        </is>
      </c>
    </row>
    <row r="22" ht="22" customHeight="1">
      <c r="A22" s="35" t="inlineStr">
        <is>
          <t>• Lô 3: Tồn dở dang (WIP)</t>
        </is>
      </c>
      <c r="B22" s="36" t="inlineStr">
        <is>
          <t>0 đôi</t>
        </is>
      </c>
      <c r="C22" s="38" t="inlineStr">
        <is>
          <t>126 đôi</t>
        </is>
      </c>
      <c r="D22" s="36" t="inlineStr">
        <is>
          <t>Cuối ngày</t>
        </is>
      </c>
      <c r="E22" s="37" t="inlineStr">
        <is>
          <t>Đang may trên line chuyền</t>
        </is>
      </c>
      <c r="F22" s="37" t="inlineStr">
        <is>
          <t>Đếm thực tế cuối ca: May 80 đôi + QC 46 đôi = 126 đôi</t>
        </is>
      </c>
    </row>
    <row r="23" ht="22" customHeight="1">
      <c r="A23" s="35" t="inlineStr">
        <is>
          <t>• Lô 3: Hàng thiếu</t>
        </is>
      </c>
      <c r="B23" s="36" t="inlineStr">
        <is>
          <t>0 đôi</t>
        </is>
      </c>
      <c r="C23" s="36" t="inlineStr">
        <is>
          <t>0 đôi</t>
        </is>
      </c>
      <c r="D23" s="36" t="inlineStr">
        <is>
          <t>Tích lũy</t>
        </is>
      </c>
      <c r="E23" s="37" t="inlineStr">
        <is>
          <t>Đủ số, chưa phát hiện hụt</t>
        </is>
      </c>
      <c r="F23" s="37" t="inlineStr">
        <is>
          <t>Tự động tính: 126 - (0 + 126) = 0 đôi thiếu</t>
        </is>
      </c>
    </row>
  </sheetData>
  <mergeCells count="5">
    <mergeCell ref="A2:F2"/>
    <mergeCell ref="A19:F19"/>
    <mergeCell ref="A14:F14"/>
    <mergeCell ref="A9:F9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8" customWidth="1" min="13" max="13"/>
    <col width="48" customWidth="1" min="14" max="14"/>
  </cols>
  <sheetData>
    <row r="1" ht="10" customHeight="1"/>
    <row r="2" ht="24" customHeight="1">
      <c r="A2" s="44" t="inlineStr">
        <is>
          <t>BẢNG THỐNG KÊ GIAO DỊCH DÒNG HÀNG HẰNG NGÀY (DAILY FLOW LOG)</t>
        </is>
      </c>
    </row>
    <row r="3" ht="18" customHeight="1">
      <c r="A3" s="45" t="inlineStr">
        <is>
          <t>Mã đơn: Đơn 050  |  Kế hoạch: 1.623 đôi  |  Theo dõi cân bằng giao dịch: [Tổng Nhập May = Tổng Xuất May = Tổng Xuất Đóng Gói = Tổng Xuất Kho TP = Tổng Giao Khách Hàng]</t>
        </is>
      </c>
    </row>
    <row r="4" ht="8" customHeight="1"/>
    <row r="5" ht="22" customHeight="1">
      <c r="A5" s="46" t="inlineStr">
        <is>
          <t>THÔNG TIN GIAO DỊCH</t>
        </is>
      </c>
      <c r="B5" s="5" t="n"/>
      <c r="C5" s="47" t="inlineStr">
        <is>
          <t>SẢN LƯỢNG PHÁT SINH TRONG NGÀY (DAILY TRANSACTIONS)</t>
        </is>
      </c>
      <c r="D5" s="5" t="n"/>
      <c r="E5" s="5" t="n"/>
      <c r="F5" s="5" t="n"/>
      <c r="G5" s="5" t="n"/>
      <c r="H5" s="48" t="inlineStr">
        <is>
          <t>LŨY KẾ ĐẾN HIỆN TẠI (CUMULATIVE THROUGHPUT)</t>
        </is>
      </c>
      <c r="I5" s="5" t="n"/>
      <c r="J5" s="5" t="n"/>
      <c r="K5" s="5" t="n"/>
      <c r="L5" s="5" t="n"/>
      <c r="M5" s="49" t="inlineStr">
        <is>
          <t>ĐỐI SOÁT &amp; KIỂM TRA</t>
        </is>
      </c>
      <c r="N5" s="5" t="n"/>
    </row>
    <row r="6" ht="26" customHeight="1">
      <c r="A6" s="50" t="inlineStr">
        <is>
          <t>Ngày</t>
        </is>
      </c>
      <c r="B6" s="50" t="inlineStr">
        <is>
          <t>Lô hàng</t>
        </is>
      </c>
      <c r="C6" s="50" t="inlineStr">
        <is>
          <t>1. Nhập May
(BTP nhận)</t>
        </is>
      </c>
      <c r="D6" s="50" t="inlineStr">
        <is>
          <t>2. Xuất May
(May xong)</t>
        </is>
      </c>
      <c r="E6" s="50" t="inlineStr">
        <is>
          <t>3. Xuất Đóng Gói
(Vào Kho TP)</t>
        </is>
      </c>
      <c r="F6" s="50" t="inlineStr">
        <is>
          <t>4. Xuất Kho TP
(Xuất xe đi)</t>
        </is>
      </c>
      <c r="G6" s="50" t="inlineStr">
        <is>
          <t>5. Giao Khách
(Khách nhận)</t>
        </is>
      </c>
      <c r="H6" s="50" t="inlineStr">
        <is>
          <t>Lũy kế
Nhập May</t>
        </is>
      </c>
      <c r="I6" s="50" t="inlineStr">
        <is>
          <t>Lũy kế
Xuất May</t>
        </is>
      </c>
      <c r="J6" s="50" t="inlineStr">
        <is>
          <t>Lũy kế
Xuất Đ.Gói</t>
        </is>
      </c>
      <c r="K6" s="50" t="inlineStr">
        <is>
          <t>Lũy kế
Xuất Kho TP</t>
        </is>
      </c>
      <c r="L6" s="50" t="inlineStr">
        <is>
          <t>Lũy kế
Giao Khách</t>
        </is>
      </c>
      <c r="M6" s="50" t="inlineStr">
        <is>
          <t>Lệch Luân Chuyển
(Nhập - Giao Khách)</t>
        </is>
      </c>
      <c r="N6" s="50" t="inlineStr">
        <is>
          <t>Ghi chú chứng từ
/ Giao dịch</t>
        </is>
      </c>
    </row>
    <row r="7" ht="20" customHeight="1">
      <c r="A7" s="51" t="inlineStr">
        <is>
          <t>19/09/2026</t>
        </is>
      </c>
      <c r="B7" s="51" t="inlineStr">
        <is>
          <t>Lô 1</t>
        </is>
      </c>
      <c r="C7" s="52" t="n">
        <v>600</v>
      </c>
      <c r="D7" s="53" t="n">
        <v>300</v>
      </c>
      <c r="E7" s="53" t="n">
        <v>0</v>
      </c>
      <c r="F7" s="53" t="n">
        <v>0</v>
      </c>
      <c r="G7" s="52" t="n">
        <v>0</v>
      </c>
      <c r="H7" s="54">
        <f>SUMIF(B$7:B7, B7, C$7:C7)</f>
        <v/>
      </c>
      <c r="I7" s="55">
        <f>SUMIF(B$7:B7, B7, D$7:D7)</f>
        <v/>
      </c>
      <c r="J7" s="55">
        <f>SUMIF(B$7:B7, B7, E$7:E7)</f>
        <v/>
      </c>
      <c r="K7" s="55">
        <f>SUMIF(B$7:B7, B7, F$7:F7)</f>
        <v/>
      </c>
      <c r="L7" s="56">
        <f>SUMIF(B$7:B7, B7, G$7:G7)</f>
        <v/>
      </c>
      <c r="M7" s="57">
        <f>H7-L7</f>
        <v/>
      </c>
      <c r="N7" s="58" t="inlineStr">
        <is>
          <t>Phiếu giao BTP đợt 1 (Lô 1)</t>
        </is>
      </c>
    </row>
    <row r="8" ht="20" customHeight="1">
      <c r="A8" s="51" t="inlineStr">
        <is>
          <t>20/09/2026</t>
        </is>
      </c>
      <c r="B8" s="51" t="inlineStr">
        <is>
          <t>Lô 1</t>
        </is>
      </c>
      <c r="C8" s="52" t="n">
        <v>630</v>
      </c>
      <c r="D8" s="53" t="n">
        <v>500</v>
      </c>
      <c r="E8" s="53" t="n">
        <v>300</v>
      </c>
      <c r="F8" s="53" t="n">
        <v>200</v>
      </c>
      <c r="G8" s="52" t="n">
        <v>200</v>
      </c>
      <c r="H8" s="54">
        <f>SUMIF(B$7:B8, B8, C$7:C8)</f>
        <v/>
      </c>
      <c r="I8" s="55">
        <f>SUMIF(B$7:B8, B8, D$7:D8)</f>
        <v/>
      </c>
      <c r="J8" s="55">
        <f>SUMIF(B$7:B8, B8, E$7:E8)</f>
        <v/>
      </c>
      <c r="K8" s="55">
        <f>SUMIF(B$7:B8, B8, F$7:F8)</f>
        <v/>
      </c>
      <c r="L8" s="56">
        <f>SUMIF(B$7:B8, B8, G$7:G8)</f>
        <v/>
      </c>
      <c r="M8" s="57">
        <f>H8-L8</f>
        <v/>
      </c>
      <c r="N8" s="58" t="inlineStr">
        <is>
          <t>Phiếu giao BTP đợt 2 (đủ 1.230 đôi Lô 1), giao khách đợt 1</t>
        </is>
      </c>
    </row>
    <row r="9" ht="20" customHeight="1">
      <c r="A9" s="51" t="inlineStr">
        <is>
          <t>21/09/2026</t>
        </is>
      </c>
      <c r="B9" s="51" t="inlineStr">
        <is>
          <t>Lô 1</t>
        </is>
      </c>
      <c r="C9" s="52" t="n">
        <v>0</v>
      </c>
      <c r="D9" s="53" t="n">
        <v>250</v>
      </c>
      <c r="E9" s="53" t="n">
        <v>350</v>
      </c>
      <c r="F9" s="53" t="n">
        <v>300</v>
      </c>
      <c r="G9" s="52" t="n">
        <v>300</v>
      </c>
      <c r="H9" s="54">
        <f>SUMIF(B$7:B9, B9, C$7:C9)</f>
        <v/>
      </c>
      <c r="I9" s="55">
        <f>SUMIF(B$7:B9, B9, D$7:D9)</f>
        <v/>
      </c>
      <c r="J9" s="55">
        <f>SUMIF(B$7:B9, B9, E$7:E9)</f>
        <v/>
      </c>
      <c r="K9" s="55">
        <f>SUMIF(B$7:B9, B9, F$7:F9)</f>
        <v/>
      </c>
      <c r="L9" s="56">
        <f>SUMIF(B$7:B9, B9, G$7:G9)</f>
        <v/>
      </c>
      <c r="M9" s="57">
        <f>H9-L9</f>
        <v/>
      </c>
      <c r="N9" s="58" t="inlineStr">
        <is>
          <t>Giao khách đợt 2 (300 đôi)</t>
        </is>
      </c>
    </row>
    <row r="10" ht="20" customHeight="1">
      <c r="A10" s="51" t="inlineStr">
        <is>
          <t>22/09/2026</t>
        </is>
      </c>
      <c r="B10" s="51" t="inlineStr">
        <is>
          <t>Lô 1</t>
        </is>
      </c>
      <c r="C10" s="52" t="n">
        <v>0</v>
      </c>
      <c r="D10" s="53" t="n">
        <v>0</v>
      </c>
      <c r="E10" s="53" t="n">
        <v>121</v>
      </c>
      <c r="F10" s="53" t="n">
        <v>148</v>
      </c>
      <c r="G10" s="52" t="n">
        <v>148</v>
      </c>
      <c r="H10" s="54">
        <f>SUMIF(B$7:B10, B10, C$7:C10)</f>
        <v/>
      </c>
      <c r="I10" s="55">
        <f>SUMIF(B$7:B10, B10, D$7:D10)</f>
        <v/>
      </c>
      <c r="J10" s="55">
        <f>SUMIF(B$7:B10, B10, E$7:E10)</f>
        <v/>
      </c>
      <c r="K10" s="55">
        <f>SUMIF(B$7:B10, B10, F$7:F10)</f>
        <v/>
      </c>
      <c r="L10" s="56">
        <f>SUMIF(B$7:B10, B10, G$7:G10)</f>
        <v/>
      </c>
      <c r="M10" s="57">
        <f>H10-L10</f>
        <v/>
      </c>
      <c r="N10" s="58" t="inlineStr">
        <is>
          <t>Chốt 22/09: LK Giao khách 648, tồn WIP 581, thiếu 1</t>
        </is>
      </c>
    </row>
    <row r="11" ht="20" customHeight="1">
      <c r="A11" s="51" t="inlineStr">
        <is>
          <t>22/09/2026</t>
        </is>
      </c>
      <c r="B11" s="51" t="inlineStr">
        <is>
          <t>Lô 2</t>
        </is>
      </c>
      <c r="C11" s="52" t="n">
        <v>267</v>
      </c>
      <c r="D11" s="53" t="n">
        <v>0</v>
      </c>
      <c r="E11" s="53" t="n">
        <v>0</v>
      </c>
      <c r="F11" s="53" t="n">
        <v>0</v>
      </c>
      <c r="G11" s="52" t="n">
        <v>0</v>
      </c>
      <c r="H11" s="54">
        <f>SUMIF(B$7:B11, B11, C$7:C11)</f>
        <v/>
      </c>
      <c r="I11" s="55">
        <f>SUMIF(B$7:B11, B11, D$7:D11)</f>
        <v/>
      </c>
      <c r="J11" s="55">
        <f>SUMIF(B$7:B11, B11, E$7:E11)</f>
        <v/>
      </c>
      <c r="K11" s="55">
        <f>SUMIF(B$7:B11, B11, F$7:F11)</f>
        <v/>
      </c>
      <c r="L11" s="56">
        <f>SUMIF(B$7:B11, B11, G$7:G11)</f>
        <v/>
      </c>
      <c r="M11" s="57">
        <f>H11-L11</f>
        <v/>
      </c>
      <c r="N11" s="58" t="inlineStr">
        <is>
          <t>Chốt 22/09: Nhập đủ BTP Lô 2 (267 đôi), đang may 250, thiếu 17</t>
        </is>
      </c>
    </row>
    <row r="12" ht="20" customHeight="1">
      <c r="A12" s="59" t="inlineStr">
        <is>
          <t>23/09/2026</t>
        </is>
      </c>
      <c r="B12" s="59" t="inlineStr">
        <is>
          <t>Lô 1</t>
        </is>
      </c>
      <c r="C12" s="60" t="n">
        <v>0</v>
      </c>
      <c r="D12" s="61" t="n">
        <v>0</v>
      </c>
      <c r="E12" s="61" t="n">
        <v>0</v>
      </c>
      <c r="F12" s="61" t="n">
        <v>350</v>
      </c>
      <c r="G12" s="60" t="n">
        <v>350</v>
      </c>
      <c r="H12" s="54">
        <f>SUMIF(B$7:B12, B12, C$7:C12)</f>
        <v/>
      </c>
      <c r="I12" s="55">
        <f>SUMIF(B$7:B12, B12, D$7:D12)</f>
        <v/>
      </c>
      <c r="J12" s="55">
        <f>SUMIF(B$7:B12, B12, E$7:E12)</f>
        <v/>
      </c>
      <c r="K12" s="55">
        <f>SUMIF(B$7:B12, B12, F$7:F12)</f>
        <v/>
      </c>
      <c r="L12" s="56">
        <f>SUMIF(B$7:B12, B12, G$7:G12)</f>
        <v/>
      </c>
      <c r="M12" s="57">
        <f>H12-L12</f>
        <v/>
      </c>
      <c r="N12" s="58" t="inlineStr">
        <is>
          <t>Chốt 23/09: Xuất thêm 350 đôi kho TP giao khách (LK: 998 đôi)</t>
        </is>
      </c>
    </row>
    <row r="13" ht="20" customHeight="1">
      <c r="A13" s="59" t="inlineStr">
        <is>
          <t>23/09/2026</t>
        </is>
      </c>
      <c r="B13" s="59" t="inlineStr">
        <is>
          <t>Lô 2</t>
        </is>
      </c>
      <c r="C13" s="60" t="n">
        <v>0</v>
      </c>
      <c r="D13" s="61" t="n">
        <v>250</v>
      </c>
      <c r="E13" s="61" t="n">
        <v>200</v>
      </c>
      <c r="F13" s="61" t="n">
        <v>50</v>
      </c>
      <c r="G13" s="60" t="n">
        <v>0</v>
      </c>
      <c r="H13" s="54">
        <f>SUMIF(B$7:B13, B13, C$7:C13)</f>
        <v/>
      </c>
      <c r="I13" s="55">
        <f>SUMIF(B$7:B13, B13, D$7:D13)</f>
        <v/>
      </c>
      <c r="J13" s="55">
        <f>SUMIF(B$7:B13, B13, E$7:E13)</f>
        <v/>
      </c>
      <c r="K13" s="55">
        <f>SUMIF(B$7:B13, B13, F$7:F13)</f>
        <v/>
      </c>
      <c r="L13" s="56">
        <f>SUMIF(B$7:B13, B13, G$7:G13)</f>
        <v/>
      </c>
      <c r="M13" s="57">
        <f>H13-L13</f>
        <v/>
      </c>
      <c r="N13" s="58" t="inlineStr">
        <is>
          <t>Chốt 23/09: May xong 250 đôi -&gt; Phối 100, ĐG 100, Kho 50</t>
        </is>
      </c>
    </row>
    <row r="14" ht="20" customHeight="1">
      <c r="A14" s="59" t="inlineStr">
        <is>
          <t>23/09/2026</t>
        </is>
      </c>
      <c r="B14" s="59" t="inlineStr">
        <is>
          <t>Lô 3</t>
        </is>
      </c>
      <c r="C14" s="60" t="n">
        <v>126</v>
      </c>
      <c r="D14" s="61" t="n">
        <v>80</v>
      </c>
      <c r="E14" s="61" t="n">
        <v>0</v>
      </c>
      <c r="F14" s="61" t="n">
        <v>0</v>
      </c>
      <c r="G14" s="60" t="n">
        <v>0</v>
      </c>
      <c r="H14" s="54">
        <f>SUMIF(B$7:B14, B14, C$7:C14)</f>
        <v/>
      </c>
      <c r="I14" s="55">
        <f>SUMIF(B$7:B14, B14, D$7:D14)</f>
        <v/>
      </c>
      <c r="J14" s="55">
        <f>SUMIF(B$7:B14, B14, E$7:E14)</f>
        <v/>
      </c>
      <c r="K14" s="55">
        <f>SUMIF(B$7:B14, B14, F$7:F14)</f>
        <v/>
      </c>
      <c r="L14" s="56">
        <f>SUMIF(B$7:B14, B14, G$7:G14)</f>
        <v/>
      </c>
      <c r="M14" s="57">
        <f>H14-L14</f>
        <v/>
      </c>
      <c r="N14" s="58" t="inlineStr">
        <is>
          <t>Chốt 23/09: Chuẩn bị giao 126 đôi nợ -&gt; mở Lô 3, may xong 80 đôi</t>
        </is>
      </c>
    </row>
    <row r="15" ht="24" customHeight="1">
      <c r="A15" s="62" t="inlineStr">
        <is>
          <t>TỔNG CỘNG ĐƠN 050</t>
        </is>
      </c>
      <c r="B15" s="5" t="n"/>
      <c r="C15" s="63">
        <f>SUM(C7:C14)</f>
        <v/>
      </c>
      <c r="D15" s="63">
        <f>SUM(D7:D14)</f>
        <v/>
      </c>
      <c r="E15" s="63">
        <f>SUM(E7:E14)</f>
        <v/>
      </c>
      <c r="F15" s="63">
        <f>SUM(F7:F14)</f>
        <v/>
      </c>
      <c r="G15" s="63">
        <f>SUM(G7:G14)</f>
        <v/>
      </c>
      <c r="H15" s="64">
        <f>SUM(C7:C14)</f>
        <v/>
      </c>
      <c r="I15" s="64">
        <f>SUM(D7:D14)</f>
        <v/>
      </c>
      <c r="J15" s="64">
        <f>SUM(E7:E14)</f>
        <v/>
      </c>
      <c r="K15" s="64">
        <f>SUM(F7:F14)</f>
        <v/>
      </c>
      <c r="L15" s="64">
        <f>SUM(G7:G14)</f>
        <v/>
      </c>
      <c r="M15" s="65">
        <f>H15-L15</f>
        <v/>
      </c>
      <c r="N15" s="66" t="inlineStr">
        <is>
          <t>Tổng WIP (607) + Thiếu (18) toàn đơn tại xưởng ngày 23/09</t>
        </is>
      </c>
    </row>
    <row r="17">
      <c r="A17" s="67" t="inlineStr">
        <is>
          <t>📌 NGUYÊN TẮC CÂN BẰNG GIAO DỊCH DÒNG HÀNG (THEO CHỈ ĐẠO CỦA SẾP):
1. Luân chuyển hoàn thành đơn hàng: Tổng Nhập May = Tổng Xuất May = Tổng Xuất Đóng Gói = Tổng Xuất Kho TP = Tổng Giao Khách Hàng.
2. Trong quá trình sản xuất dở dang: [Lũy kế Nhập May (1.623)] - [Lũy kế Giao Khách (998)] = [Tổng Tồn WIP xưởng (607)] + [Hàng Thiếu (18)] = 625 đôi.
3. Bảng này dùng để nhập giao dịch từng ngày của các khâu: May xong bao nhiêu, Đóng gói bao nhiêu, Kho xuất xe bao nhiêu.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</sheetData>
  <mergeCells count="8">
    <mergeCell ref="A3:N3"/>
    <mergeCell ref="A15:B15"/>
    <mergeCell ref="A17:N20"/>
    <mergeCell ref="A2:N2"/>
    <mergeCell ref="A5:B5"/>
    <mergeCell ref="C5:G5"/>
    <mergeCell ref="M5:N5"/>
    <mergeCell ref="H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2026-09-23T07:15:49Z</dcterms:created>
  <dcterms:modified xmlns:dcterms="http://purl.org/dc/terms/" xmlns:xsi="http://www.w3.org/2001/XMLSchema-instance" xsi:type="dcterms:W3CDTF">2026-09-23T07:20:36Z</dcterms:modified>
</cp:coreProperties>
</file>